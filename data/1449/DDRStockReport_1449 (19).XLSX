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120" yWindow="80" windowWidth="19420" windowHeight="4980"/>
  </bookViews>
  <sheets>
    <sheet name="Stock" sheetId="1" r:id="rId1"/>
  </sheets>
  <calcPr calcId="125725"/>
</workbook>
</file>

<file path=xl/calcChain.xml><?xml version="1.0" encoding="utf-8"?>
<calcChain xmlns="http://schemas.openxmlformats.org/spreadsheetml/2006/main">
  <c r="A165" i="1"/>
  <c r="N165" l="1"/>
  <c r="R165" l="1"/>
  <c r="P165"/>
  <c r="O165"/>
  <c r="K165"/>
  <c r="H165"/>
  <c r="G165"/>
  <c r="F165"/>
  <c r="E165"/>
  <c r="D165"/>
  <c r="AC165" l="1"/>
  <c r="AC695"/>
  <c r="R695"/>
  <c r="P695"/>
  <c r="O695"/>
  <c r="N695"/>
  <c r="K695"/>
  <c r="H695"/>
  <c r="G695"/>
  <c r="F695"/>
  <c r="E695"/>
  <c r="D695"/>
  <c r="A695"/>
  <c r="AC10"/>
  <c r="R10"/>
  <c r="P10"/>
  <c r="O10"/>
  <c r="N10"/>
  <c r="K10"/>
  <c r="H10"/>
  <c r="G10"/>
  <c r="F10"/>
  <c r="E10"/>
  <c r="D10"/>
  <c r="A10"/>
  <c r="AC694"/>
  <c r="R694"/>
  <c r="P694"/>
  <c r="O694"/>
  <c r="N694"/>
  <c r="K694"/>
  <c r="H694"/>
  <c r="G694"/>
  <c r="F694"/>
  <c r="E694"/>
  <c r="D694"/>
  <c r="A694"/>
  <c r="AC229"/>
  <c r="R229"/>
  <c r="P229"/>
  <c r="O229"/>
  <c r="N229"/>
  <c r="K229"/>
  <c r="H229"/>
  <c r="G229"/>
  <c r="F229"/>
  <c r="E229"/>
  <c r="D229"/>
  <c r="A229"/>
  <c r="AC693"/>
  <c r="R693"/>
  <c r="P693"/>
  <c r="O693"/>
  <c r="N693"/>
  <c r="K693"/>
  <c r="H693"/>
  <c r="G693"/>
  <c r="F693"/>
  <c r="E693"/>
  <c r="D693"/>
  <c r="A693"/>
  <c r="AC692"/>
  <c r="R692"/>
  <c r="P692"/>
  <c r="O692"/>
  <c r="N692"/>
  <c r="K692"/>
  <c r="H692"/>
  <c r="G692"/>
  <c r="F692"/>
  <c r="E692"/>
  <c r="D692"/>
  <c r="A692"/>
  <c r="AC691"/>
  <c r="R691"/>
  <c r="P691"/>
  <c r="O691"/>
  <c r="N691"/>
  <c r="K691"/>
  <c r="H691"/>
  <c r="G691"/>
  <c r="F691"/>
  <c r="E691"/>
  <c r="D691"/>
  <c r="A691"/>
  <c r="AC222"/>
  <c r="R222"/>
  <c r="P222"/>
  <c r="O222"/>
  <c r="N222"/>
  <c r="K222"/>
  <c r="H222"/>
  <c r="G222"/>
  <c r="F222"/>
  <c r="E222"/>
  <c r="D222"/>
  <c r="A222"/>
  <c r="AC690"/>
  <c r="R690"/>
  <c r="P690"/>
  <c r="O690"/>
  <c r="N690"/>
  <c r="K690"/>
  <c r="H690"/>
  <c r="G690"/>
  <c r="F690"/>
  <c r="E690"/>
  <c r="D690"/>
  <c r="A690"/>
  <c r="AC689"/>
  <c r="R689"/>
  <c r="P689"/>
  <c r="O689"/>
  <c r="N689"/>
  <c r="K689"/>
  <c r="H689"/>
  <c r="G689"/>
  <c r="F689"/>
  <c r="E689"/>
  <c r="D689"/>
  <c r="A689"/>
  <c r="AC688"/>
  <c r="R688"/>
  <c r="P688"/>
  <c r="O688"/>
  <c r="N688"/>
  <c r="K688"/>
  <c r="H688"/>
  <c r="G688"/>
  <c r="F688"/>
  <c r="E688"/>
  <c r="D688"/>
  <c r="A688"/>
  <c r="AC687"/>
  <c r="R687"/>
  <c r="P687"/>
  <c r="O687"/>
  <c r="N687"/>
  <c r="K687"/>
  <c r="H687"/>
  <c r="G687"/>
  <c r="F687"/>
  <c r="E687"/>
  <c r="D687"/>
  <c r="A687"/>
  <c r="AC686"/>
  <c r="R686"/>
  <c r="P686"/>
  <c r="O686"/>
  <c r="N686"/>
  <c r="K686"/>
  <c r="H686"/>
  <c r="G686"/>
  <c r="F686"/>
  <c r="E686"/>
  <c r="D686"/>
  <c r="A686"/>
  <c r="AC685"/>
  <c r="R685"/>
  <c r="P685"/>
  <c r="O685"/>
  <c r="N685"/>
  <c r="K685"/>
  <c r="H685"/>
  <c r="G685"/>
  <c r="F685"/>
  <c r="E685"/>
  <c r="D685"/>
  <c r="A685"/>
  <c r="AC684"/>
  <c r="R684"/>
  <c r="P684"/>
  <c r="O684"/>
  <c r="N684"/>
  <c r="K684"/>
  <c r="H684"/>
  <c r="G684"/>
  <c r="F684"/>
  <c r="E684"/>
  <c r="D684"/>
  <c r="A684"/>
  <c r="AC151"/>
  <c r="R151"/>
  <c r="P151"/>
  <c r="O151"/>
  <c r="N151"/>
  <c r="K151"/>
  <c r="H151"/>
  <c r="G151"/>
  <c r="F151"/>
  <c r="E151"/>
  <c r="D151"/>
  <c r="A151"/>
  <c r="AC683"/>
  <c r="R683"/>
  <c r="P683"/>
  <c r="O683"/>
  <c r="N683"/>
  <c r="K683"/>
  <c r="H683"/>
  <c r="G683"/>
  <c r="F683"/>
  <c r="E683"/>
  <c r="D683"/>
  <c r="A683"/>
  <c r="AC682"/>
  <c r="R682"/>
  <c r="P682"/>
  <c r="O682"/>
  <c r="N682"/>
  <c r="K682"/>
  <c r="H682"/>
  <c r="G682"/>
  <c r="F682"/>
  <c r="E682"/>
  <c r="D682"/>
  <c r="A682"/>
  <c r="AC208"/>
  <c r="R208"/>
  <c r="P208"/>
  <c r="O208"/>
  <c r="N208"/>
  <c r="K208"/>
  <c r="H208"/>
  <c r="G208"/>
  <c r="F208"/>
  <c r="E208"/>
  <c r="D208"/>
  <c r="A208"/>
  <c r="AC198"/>
  <c r="R198"/>
  <c r="P198"/>
  <c r="O198"/>
  <c r="N198"/>
  <c r="K198"/>
  <c r="H198"/>
  <c r="G198"/>
  <c r="F198"/>
  <c r="E198"/>
  <c r="D198"/>
  <c r="A198"/>
  <c r="AC64"/>
  <c r="R64"/>
  <c r="P64"/>
  <c r="O64"/>
  <c r="N64"/>
  <c r="K64"/>
  <c r="H64"/>
  <c r="G64"/>
  <c r="F64"/>
  <c r="E64"/>
  <c r="D64"/>
  <c r="A64"/>
  <c r="AC681"/>
  <c r="R681"/>
  <c r="P681"/>
  <c r="O681"/>
  <c r="N681"/>
  <c r="K681"/>
  <c r="H681"/>
  <c r="G681"/>
  <c r="F681"/>
  <c r="E681"/>
  <c r="D681"/>
  <c r="A681"/>
  <c r="AC220"/>
  <c r="R220"/>
  <c r="P220"/>
  <c r="O220"/>
  <c r="N220"/>
  <c r="K220"/>
  <c r="H220"/>
  <c r="G220"/>
  <c r="F220"/>
  <c r="E220"/>
  <c r="D220"/>
  <c r="A220"/>
  <c r="AC680"/>
  <c r="R680"/>
  <c r="P680"/>
  <c r="O680"/>
  <c r="N680"/>
  <c r="K680"/>
  <c r="H680"/>
  <c r="G680"/>
  <c r="F680"/>
  <c r="E680"/>
  <c r="D680"/>
  <c r="A680"/>
  <c r="AC78"/>
  <c r="R78"/>
  <c r="P78"/>
  <c r="O78"/>
  <c r="N78"/>
  <c r="K78"/>
  <c r="H78"/>
  <c r="G78"/>
  <c r="F78"/>
  <c r="E78"/>
  <c r="D78"/>
  <c r="A78"/>
  <c r="AC679"/>
  <c r="R679"/>
  <c r="P679"/>
  <c r="O679"/>
  <c r="N679"/>
  <c r="K679"/>
  <c r="H679"/>
  <c r="G679"/>
  <c r="F679"/>
  <c r="E679"/>
  <c r="D679"/>
  <c r="A679"/>
  <c r="AC223"/>
  <c r="R223"/>
  <c r="P223"/>
  <c r="O223"/>
  <c r="N223"/>
  <c r="K223"/>
  <c r="H223"/>
  <c r="G223"/>
  <c r="F223"/>
  <c r="E223"/>
  <c r="D223"/>
  <c r="A223"/>
  <c r="AC219"/>
  <c r="R219"/>
  <c r="P219"/>
  <c r="O219"/>
  <c r="N219"/>
  <c r="K219"/>
  <c r="H219"/>
  <c r="G219"/>
  <c r="F219"/>
  <c r="E219"/>
  <c r="D219"/>
  <c r="A219"/>
  <c r="AC111"/>
  <c r="R111"/>
  <c r="P111"/>
  <c r="O111"/>
  <c r="N111"/>
  <c r="K111"/>
  <c r="H111"/>
  <c r="G111"/>
  <c r="F111"/>
  <c r="E111"/>
  <c r="D111"/>
  <c r="A111"/>
  <c r="AC678"/>
  <c r="R678"/>
  <c r="P678"/>
  <c r="O678"/>
  <c r="N678"/>
  <c r="K678"/>
  <c r="H678"/>
  <c r="G678"/>
  <c r="F678"/>
  <c r="E678"/>
  <c r="D678"/>
  <c r="A678"/>
  <c r="AC239"/>
  <c r="R239"/>
  <c r="P239"/>
  <c r="O239"/>
  <c r="N239"/>
  <c r="K239"/>
  <c r="H239"/>
  <c r="G239"/>
  <c r="F239"/>
  <c r="E239"/>
  <c r="D239"/>
  <c r="A239"/>
  <c r="AC232"/>
  <c r="R232"/>
  <c r="P232"/>
  <c r="O232"/>
  <c r="N232"/>
  <c r="K232"/>
  <c r="H232"/>
  <c r="G232"/>
  <c r="F232"/>
  <c r="E232"/>
  <c r="D232"/>
  <c r="A232"/>
  <c r="AC677"/>
  <c r="R677"/>
  <c r="P677"/>
  <c r="O677"/>
  <c r="N677"/>
  <c r="K677"/>
  <c r="H677"/>
  <c r="G677"/>
  <c r="F677"/>
  <c r="E677"/>
  <c r="D677"/>
  <c r="A677"/>
  <c r="AC676"/>
  <c r="R676"/>
  <c r="P676"/>
  <c r="O676"/>
  <c r="N676"/>
  <c r="K676"/>
  <c r="H676"/>
  <c r="G676"/>
  <c r="F676"/>
  <c r="E676"/>
  <c r="D676"/>
  <c r="A676"/>
  <c r="AC675"/>
  <c r="R675"/>
  <c r="P675"/>
  <c r="O675"/>
  <c r="N675"/>
  <c r="K675"/>
  <c r="H675"/>
  <c r="G675"/>
  <c r="F675"/>
  <c r="E675"/>
  <c r="D675"/>
  <c r="A675"/>
  <c r="AC674"/>
  <c r="R674"/>
  <c r="P674"/>
  <c r="O674"/>
  <c r="N674"/>
  <c r="K674"/>
  <c r="H674"/>
  <c r="G674"/>
  <c r="F674"/>
  <c r="E674"/>
  <c r="D674"/>
  <c r="A674"/>
  <c r="AC85"/>
  <c r="R85"/>
  <c r="P85"/>
  <c r="O85"/>
  <c r="N85"/>
  <c r="K85"/>
  <c r="H85"/>
  <c r="G85"/>
  <c r="F85"/>
  <c r="E85"/>
  <c r="D85"/>
  <c r="A85"/>
  <c r="AC195"/>
  <c r="R195"/>
  <c r="P195"/>
  <c r="O195"/>
  <c r="N195"/>
  <c r="K195"/>
  <c r="H195"/>
  <c r="G195"/>
  <c r="F195"/>
  <c r="E195"/>
  <c r="D195"/>
  <c r="A195"/>
  <c r="AC673"/>
  <c r="R673"/>
  <c r="P673"/>
  <c r="O673"/>
  <c r="N673"/>
  <c r="K673"/>
  <c r="H673"/>
  <c r="G673"/>
  <c r="F673"/>
  <c r="E673"/>
  <c r="D673"/>
  <c r="A673"/>
  <c r="AC672"/>
  <c r="R672"/>
  <c r="P672"/>
  <c r="O672"/>
  <c r="N672"/>
  <c r="K672"/>
  <c r="H672"/>
  <c r="G672"/>
  <c r="F672"/>
  <c r="E672"/>
  <c r="D672"/>
  <c r="A672"/>
  <c r="AC40"/>
  <c r="R40"/>
  <c r="P40"/>
  <c r="O40"/>
  <c r="N40"/>
  <c r="K40"/>
  <c r="H40"/>
  <c r="G40"/>
  <c r="F40"/>
  <c r="E40"/>
  <c r="D40"/>
  <c r="A40"/>
  <c r="AC671"/>
  <c r="R671"/>
  <c r="P671"/>
  <c r="O671"/>
  <c r="N671"/>
  <c r="K671"/>
  <c r="H671"/>
  <c r="G671"/>
  <c r="F671"/>
  <c r="E671"/>
  <c r="D671"/>
  <c r="A671"/>
  <c r="AC26"/>
  <c r="R26"/>
  <c r="P26"/>
  <c r="O26"/>
  <c r="N26"/>
  <c r="K26"/>
  <c r="H26"/>
  <c r="G26"/>
  <c r="F26"/>
  <c r="E26"/>
  <c r="D26"/>
  <c r="A26"/>
  <c r="AC670"/>
  <c r="R670"/>
  <c r="P670"/>
  <c r="O670"/>
  <c r="N670"/>
  <c r="K670"/>
  <c r="H670"/>
  <c r="G670"/>
  <c r="F670"/>
  <c r="E670"/>
  <c r="D670"/>
  <c r="A670"/>
  <c r="AC669"/>
  <c r="R669"/>
  <c r="P669"/>
  <c r="O669"/>
  <c r="N669"/>
  <c r="K669"/>
  <c r="H669"/>
  <c r="G669"/>
  <c r="F669"/>
  <c r="E669"/>
  <c r="D669"/>
  <c r="A669"/>
  <c r="AC668"/>
  <c r="R668"/>
  <c r="P668"/>
  <c r="O668"/>
  <c r="N668"/>
  <c r="K668"/>
  <c r="H668"/>
  <c r="G668"/>
  <c r="F668"/>
  <c r="E668"/>
  <c r="D668"/>
  <c r="A668"/>
  <c r="AC667"/>
  <c r="R667"/>
  <c r="P667"/>
  <c r="O667"/>
  <c r="N667"/>
  <c r="K667"/>
  <c r="H667"/>
  <c r="G667"/>
  <c r="F667"/>
  <c r="E667"/>
  <c r="D667"/>
  <c r="A667"/>
  <c r="AC76"/>
  <c r="R76"/>
  <c r="P76"/>
  <c r="O76"/>
  <c r="N76"/>
  <c r="K76"/>
  <c r="H76"/>
  <c r="G76"/>
  <c r="F76"/>
  <c r="E76"/>
  <c r="D76"/>
  <c r="A76"/>
  <c r="AC666"/>
  <c r="R666"/>
  <c r="P666"/>
  <c r="O666"/>
  <c r="N666"/>
  <c r="K666"/>
  <c r="H666"/>
  <c r="G666"/>
  <c r="F666"/>
  <c r="E666"/>
  <c r="D666"/>
  <c r="A666"/>
  <c r="AC665"/>
  <c r="R665"/>
  <c r="P665"/>
  <c r="O665"/>
  <c r="N665"/>
  <c r="K665"/>
  <c r="H665"/>
  <c r="G665"/>
  <c r="F665"/>
  <c r="E665"/>
  <c r="D665"/>
  <c r="A665"/>
  <c r="AC664"/>
  <c r="R664"/>
  <c r="P664"/>
  <c r="O664"/>
  <c r="N664"/>
  <c r="K664"/>
  <c r="H664"/>
  <c r="G664"/>
  <c r="F664"/>
  <c r="E664"/>
  <c r="D664"/>
  <c r="A664"/>
  <c r="AC663"/>
  <c r="R663"/>
  <c r="P663"/>
  <c r="O663"/>
  <c r="N663"/>
  <c r="K663"/>
  <c r="H663"/>
  <c r="G663"/>
  <c r="F663"/>
  <c r="E663"/>
  <c r="D663"/>
  <c r="A663"/>
  <c r="AC662"/>
  <c r="R662"/>
  <c r="P662"/>
  <c r="O662"/>
  <c r="N662"/>
  <c r="K662"/>
  <c r="H662"/>
  <c r="G662"/>
  <c r="F662"/>
  <c r="E662"/>
  <c r="D662"/>
  <c r="A662"/>
  <c r="AC661"/>
  <c r="R661"/>
  <c r="P661"/>
  <c r="O661"/>
  <c r="N661"/>
  <c r="K661"/>
  <c r="H661"/>
  <c r="G661"/>
  <c r="F661"/>
  <c r="E661"/>
  <c r="D661"/>
  <c r="A661"/>
  <c r="AC660"/>
  <c r="R660"/>
  <c r="P660"/>
  <c r="O660"/>
  <c r="N660"/>
  <c r="K660"/>
  <c r="H660"/>
  <c r="G660"/>
  <c r="F660"/>
  <c r="E660"/>
  <c r="D660"/>
  <c r="A660"/>
  <c r="AC659"/>
  <c r="R659"/>
  <c r="P659"/>
  <c r="O659"/>
  <c r="N659"/>
  <c r="K659"/>
  <c r="H659"/>
  <c r="G659"/>
  <c r="F659"/>
  <c r="E659"/>
  <c r="D659"/>
  <c r="A659"/>
  <c r="AC658"/>
  <c r="R658"/>
  <c r="P658"/>
  <c r="O658"/>
  <c r="N658"/>
  <c r="K658"/>
  <c r="H658"/>
  <c r="G658"/>
  <c r="F658"/>
  <c r="E658"/>
  <c r="D658"/>
  <c r="A658"/>
  <c r="AC657"/>
  <c r="R657"/>
  <c r="P657"/>
  <c r="O657"/>
  <c r="N657"/>
  <c r="K657"/>
  <c r="H657"/>
  <c r="G657"/>
  <c r="F657"/>
  <c r="E657"/>
  <c r="D657"/>
  <c r="A657"/>
  <c r="AC656"/>
  <c r="R656"/>
  <c r="P656"/>
  <c r="O656"/>
  <c r="N656"/>
  <c r="K656"/>
  <c r="H656"/>
  <c r="G656"/>
  <c r="F656"/>
  <c r="E656"/>
  <c r="D656"/>
  <c r="A656"/>
  <c r="AC92"/>
  <c r="R92"/>
  <c r="P92"/>
  <c r="O92"/>
  <c r="N92"/>
  <c r="K92"/>
  <c r="H92"/>
  <c r="G92"/>
  <c r="F92"/>
  <c r="E92"/>
  <c r="D92"/>
  <c r="A92"/>
  <c r="AC655"/>
  <c r="R655"/>
  <c r="P655"/>
  <c r="O655"/>
  <c r="N655"/>
  <c r="K655"/>
  <c r="H655"/>
  <c r="G655"/>
  <c r="F655"/>
  <c r="E655"/>
  <c r="D655"/>
  <c r="A655"/>
  <c r="AC654"/>
  <c r="R654"/>
  <c r="P654"/>
  <c r="O654"/>
  <c r="N654"/>
  <c r="K654"/>
  <c r="H654"/>
  <c r="G654"/>
  <c r="F654"/>
  <c r="E654"/>
  <c r="D654"/>
  <c r="A654"/>
  <c r="AC653"/>
  <c r="R653"/>
  <c r="P653"/>
  <c r="O653"/>
  <c r="N653"/>
  <c r="K653"/>
  <c r="H653"/>
  <c r="G653"/>
  <c r="F653"/>
  <c r="E653"/>
  <c r="D653"/>
  <c r="A653"/>
  <c r="AC652"/>
  <c r="R652"/>
  <c r="P652"/>
  <c r="O652"/>
  <c r="N652"/>
  <c r="K652"/>
  <c r="H652"/>
  <c r="G652"/>
  <c r="F652"/>
  <c r="E652"/>
  <c r="D652"/>
  <c r="A652"/>
  <c r="AC651"/>
  <c r="R651"/>
  <c r="P651"/>
  <c r="O651"/>
  <c r="N651"/>
  <c r="K651"/>
  <c r="H651"/>
  <c r="G651"/>
  <c r="F651"/>
  <c r="E651"/>
  <c r="D651"/>
  <c r="A651"/>
  <c r="AC650"/>
  <c r="R650"/>
  <c r="P650"/>
  <c r="O650"/>
  <c r="N650"/>
  <c r="K650"/>
  <c r="H650"/>
  <c r="G650"/>
  <c r="F650"/>
  <c r="E650"/>
  <c r="D650"/>
  <c r="A650"/>
  <c r="AC649"/>
  <c r="R649"/>
  <c r="P649"/>
  <c r="O649"/>
  <c r="N649"/>
  <c r="K649"/>
  <c r="H649"/>
  <c r="G649"/>
  <c r="F649"/>
  <c r="E649"/>
  <c r="D649"/>
  <c r="A649"/>
  <c r="AC648"/>
  <c r="R648"/>
  <c r="P648"/>
  <c r="O648"/>
  <c r="N648"/>
  <c r="K648"/>
  <c r="H648"/>
  <c r="G648"/>
  <c r="F648"/>
  <c r="E648"/>
  <c r="D648"/>
  <c r="A648"/>
  <c r="AC182"/>
  <c r="R182"/>
  <c r="P182"/>
  <c r="O182"/>
  <c r="N182"/>
  <c r="K182"/>
  <c r="H182"/>
  <c r="G182"/>
  <c r="F182"/>
  <c r="E182"/>
  <c r="D182"/>
  <c r="A182"/>
  <c r="AC647"/>
  <c r="R647"/>
  <c r="P647"/>
  <c r="O647"/>
  <c r="N647"/>
  <c r="K647"/>
  <c r="H647"/>
  <c r="G647"/>
  <c r="F647"/>
  <c r="E647"/>
  <c r="D647"/>
  <c r="A647"/>
  <c r="AC646"/>
  <c r="R646"/>
  <c r="P646"/>
  <c r="O646"/>
  <c r="N646"/>
  <c r="K646"/>
  <c r="H646"/>
  <c r="G646"/>
  <c r="F646"/>
  <c r="E646"/>
  <c r="D646"/>
  <c r="A646"/>
  <c r="AC206"/>
  <c r="R206"/>
  <c r="P206"/>
  <c r="O206"/>
  <c r="N206"/>
  <c r="K206"/>
  <c r="H206"/>
  <c r="G206"/>
  <c r="F206"/>
  <c r="E206"/>
  <c r="D206"/>
  <c r="A206"/>
  <c r="AC645"/>
  <c r="R645"/>
  <c r="P645"/>
  <c r="O645"/>
  <c r="N645"/>
  <c r="K645"/>
  <c r="H645"/>
  <c r="G645"/>
  <c r="F645"/>
  <c r="E645"/>
  <c r="D645"/>
  <c r="A645"/>
  <c r="AC644"/>
  <c r="R644"/>
  <c r="P644"/>
  <c r="O644"/>
  <c r="N644"/>
  <c r="K644"/>
  <c r="H644"/>
  <c r="G644"/>
  <c r="F644"/>
  <c r="E644"/>
  <c r="D644"/>
  <c r="A644"/>
  <c r="AC643"/>
  <c r="R643"/>
  <c r="P643"/>
  <c r="O643"/>
  <c r="N643"/>
  <c r="K643"/>
  <c r="H643"/>
  <c r="G643"/>
  <c r="F643"/>
  <c r="E643"/>
  <c r="D643"/>
  <c r="A643"/>
  <c r="AC642"/>
  <c r="R642"/>
  <c r="P642"/>
  <c r="O642"/>
  <c r="N642"/>
  <c r="K642"/>
  <c r="H642"/>
  <c r="G642"/>
  <c r="F642"/>
  <c r="E642"/>
  <c r="D642"/>
  <c r="A642"/>
  <c r="AC641"/>
  <c r="R641"/>
  <c r="P641"/>
  <c r="O641"/>
  <c r="N641"/>
  <c r="K641"/>
  <c r="H641"/>
  <c r="G641"/>
  <c r="F641"/>
  <c r="E641"/>
  <c r="D641"/>
  <c r="A641"/>
  <c r="AC640"/>
  <c r="R640"/>
  <c r="P640"/>
  <c r="O640"/>
  <c r="N640"/>
  <c r="K640"/>
  <c r="H640"/>
  <c r="G640"/>
  <c r="F640"/>
  <c r="E640"/>
  <c r="D640"/>
  <c r="A640"/>
  <c r="AC639"/>
  <c r="R639"/>
  <c r="P639"/>
  <c r="O639"/>
  <c r="N639"/>
  <c r="K639"/>
  <c r="H639"/>
  <c r="G639"/>
  <c r="F639"/>
  <c r="E639"/>
  <c r="D639"/>
  <c r="A639"/>
  <c r="AC638"/>
  <c r="R638"/>
  <c r="P638"/>
  <c r="O638"/>
  <c r="N638"/>
  <c r="K638"/>
  <c r="H638"/>
  <c r="G638"/>
  <c r="F638"/>
  <c r="E638"/>
  <c r="D638"/>
  <c r="A638"/>
  <c r="AC226"/>
  <c r="R226"/>
  <c r="P226"/>
  <c r="O226"/>
  <c r="N226"/>
  <c r="K226"/>
  <c r="H226"/>
  <c r="G226"/>
  <c r="F226"/>
  <c r="E226"/>
  <c r="D226"/>
  <c r="A226"/>
  <c r="AC637"/>
  <c r="R637"/>
  <c r="P637"/>
  <c r="O637"/>
  <c r="N637"/>
  <c r="K637"/>
  <c r="H637"/>
  <c r="G637"/>
  <c r="F637"/>
  <c r="E637"/>
  <c r="D637"/>
  <c r="A637"/>
  <c r="AC636"/>
  <c r="R636"/>
  <c r="P636"/>
  <c r="O636"/>
  <c r="N636"/>
  <c r="K636"/>
  <c r="H636"/>
  <c r="G636"/>
  <c r="F636"/>
  <c r="E636"/>
  <c r="D636"/>
  <c r="A636"/>
  <c r="AC635"/>
  <c r="R635"/>
  <c r="P635"/>
  <c r="O635"/>
  <c r="N635"/>
  <c r="K635"/>
  <c r="H635"/>
  <c r="G635"/>
  <c r="F635"/>
  <c r="E635"/>
  <c r="D635"/>
  <c r="A635"/>
  <c r="AC153"/>
  <c r="R153"/>
  <c r="P153"/>
  <c r="O153"/>
  <c r="N153"/>
  <c r="K153"/>
  <c r="H153"/>
  <c r="G153"/>
  <c r="F153"/>
  <c r="E153"/>
  <c r="D153"/>
  <c r="A153"/>
  <c r="AC634"/>
  <c r="R634"/>
  <c r="P634"/>
  <c r="O634"/>
  <c r="N634"/>
  <c r="K634"/>
  <c r="H634"/>
  <c r="G634"/>
  <c r="F634"/>
  <c r="E634"/>
  <c r="D634"/>
  <c r="A634"/>
  <c r="AC633"/>
  <c r="R633"/>
  <c r="P633"/>
  <c r="O633"/>
  <c r="N633"/>
  <c r="K633"/>
  <c r="H633"/>
  <c r="G633"/>
  <c r="F633"/>
  <c r="E633"/>
  <c r="D633"/>
  <c r="A633"/>
  <c r="AC632"/>
  <c r="R632"/>
  <c r="P632"/>
  <c r="O632"/>
  <c r="N632"/>
  <c r="K632"/>
  <c r="H632"/>
  <c r="G632"/>
  <c r="F632"/>
  <c r="E632"/>
  <c r="D632"/>
  <c r="A632"/>
  <c r="AC631"/>
  <c r="R631"/>
  <c r="P631"/>
  <c r="O631"/>
  <c r="N631"/>
  <c r="K631"/>
  <c r="H631"/>
  <c r="G631"/>
  <c r="F631"/>
  <c r="E631"/>
  <c r="D631"/>
  <c r="A631"/>
  <c r="AC173"/>
  <c r="R173"/>
  <c r="P173"/>
  <c r="O173"/>
  <c r="N173"/>
  <c r="K173"/>
  <c r="H173"/>
  <c r="G173"/>
  <c r="F173"/>
  <c r="E173"/>
  <c r="D173"/>
  <c r="A173"/>
  <c r="AC630"/>
  <c r="R630"/>
  <c r="P630"/>
  <c r="O630"/>
  <c r="N630"/>
  <c r="K630"/>
  <c r="H630"/>
  <c r="G630"/>
  <c r="F630"/>
  <c r="E630"/>
  <c r="D630"/>
  <c r="A630"/>
  <c r="AC629"/>
  <c r="R629"/>
  <c r="P629"/>
  <c r="O629"/>
  <c r="N629"/>
  <c r="K629"/>
  <c r="H629"/>
  <c r="G629"/>
  <c r="F629"/>
  <c r="E629"/>
  <c r="D629"/>
  <c r="A629"/>
  <c r="AC125"/>
  <c r="R125"/>
  <c r="P125"/>
  <c r="O125"/>
  <c r="N125"/>
  <c r="K125"/>
  <c r="H125"/>
  <c r="G125"/>
  <c r="F125"/>
  <c r="E125"/>
  <c r="D125"/>
  <c r="A125"/>
  <c r="AC628"/>
  <c r="R628"/>
  <c r="P628"/>
  <c r="O628"/>
  <c r="N628"/>
  <c r="K628"/>
  <c r="H628"/>
  <c r="G628"/>
  <c r="F628"/>
  <c r="E628"/>
  <c r="D628"/>
  <c r="A628"/>
  <c r="AC203"/>
  <c r="R203"/>
  <c r="P203"/>
  <c r="O203"/>
  <c r="N203"/>
  <c r="K203"/>
  <c r="H203"/>
  <c r="G203"/>
  <c r="F203"/>
  <c r="E203"/>
  <c r="D203"/>
  <c r="A203"/>
  <c r="AC627"/>
  <c r="R627"/>
  <c r="P627"/>
  <c r="O627"/>
  <c r="N627"/>
  <c r="K627"/>
  <c r="H627"/>
  <c r="G627"/>
  <c r="F627"/>
  <c r="E627"/>
  <c r="D627"/>
  <c r="A627"/>
  <c r="AC626"/>
  <c r="R626"/>
  <c r="P626"/>
  <c r="O626"/>
  <c r="N626"/>
  <c r="K626"/>
  <c r="H626"/>
  <c r="G626"/>
  <c r="F626"/>
  <c r="E626"/>
  <c r="D626"/>
  <c r="A626"/>
  <c r="AC625"/>
  <c r="R625"/>
  <c r="P625"/>
  <c r="O625"/>
  <c r="N625"/>
  <c r="K625"/>
  <c r="H625"/>
  <c r="G625"/>
  <c r="F625"/>
  <c r="E625"/>
  <c r="D625"/>
  <c r="A625"/>
  <c r="AC133"/>
  <c r="R133"/>
  <c r="P133"/>
  <c r="O133"/>
  <c r="N133"/>
  <c r="K133"/>
  <c r="H133"/>
  <c r="G133"/>
  <c r="F133"/>
  <c r="E133"/>
  <c r="D133"/>
  <c r="A133"/>
  <c r="AC624"/>
  <c r="R624"/>
  <c r="P624"/>
  <c r="O624"/>
  <c r="N624"/>
  <c r="K624"/>
  <c r="H624"/>
  <c r="G624"/>
  <c r="F624"/>
  <c r="E624"/>
  <c r="D624"/>
  <c r="A624"/>
  <c r="AC623"/>
  <c r="R623"/>
  <c r="P623"/>
  <c r="O623"/>
  <c r="N623"/>
  <c r="K623"/>
  <c r="H623"/>
  <c r="G623"/>
  <c r="F623"/>
  <c r="E623"/>
  <c r="D623"/>
  <c r="A623"/>
  <c r="AC622"/>
  <c r="R622"/>
  <c r="P622"/>
  <c r="O622"/>
  <c r="N622"/>
  <c r="K622"/>
  <c r="H622"/>
  <c r="G622"/>
  <c r="F622"/>
  <c r="E622"/>
  <c r="D622"/>
  <c r="A622"/>
  <c r="AC621"/>
  <c r="R621"/>
  <c r="P621"/>
  <c r="O621"/>
  <c r="N621"/>
  <c r="K621"/>
  <c r="H621"/>
  <c r="G621"/>
  <c r="F621"/>
  <c r="E621"/>
  <c r="D621"/>
  <c r="A621"/>
  <c r="AC620"/>
  <c r="R620"/>
  <c r="P620"/>
  <c r="O620"/>
  <c r="N620"/>
  <c r="K620"/>
  <c r="H620"/>
  <c r="G620"/>
  <c r="F620"/>
  <c r="E620"/>
  <c r="D620"/>
  <c r="A620"/>
  <c r="AC46"/>
  <c r="R46"/>
  <c r="P46"/>
  <c r="O46"/>
  <c r="N46"/>
  <c r="K46"/>
  <c r="H46"/>
  <c r="G46"/>
  <c r="F46"/>
  <c r="E46"/>
  <c r="D46"/>
  <c r="A46"/>
  <c r="AC142"/>
  <c r="R142"/>
  <c r="P142"/>
  <c r="O142"/>
  <c r="N142"/>
  <c r="K142"/>
  <c r="H142"/>
  <c r="G142"/>
  <c r="F142"/>
  <c r="E142"/>
  <c r="D142"/>
  <c r="A142"/>
  <c r="AC619"/>
  <c r="R619"/>
  <c r="P619"/>
  <c r="O619"/>
  <c r="N619"/>
  <c r="K619"/>
  <c r="H619"/>
  <c r="G619"/>
  <c r="F619"/>
  <c r="E619"/>
  <c r="D619"/>
  <c r="A619"/>
  <c r="AC618"/>
  <c r="R618"/>
  <c r="P618"/>
  <c r="O618"/>
  <c r="N618"/>
  <c r="K618"/>
  <c r="H618"/>
  <c r="G618"/>
  <c r="F618"/>
  <c r="E618"/>
  <c r="D618"/>
  <c r="A618"/>
  <c r="AC617"/>
  <c r="R617"/>
  <c r="P617"/>
  <c r="O617"/>
  <c r="N617"/>
  <c r="K617"/>
  <c r="H617"/>
  <c r="G617"/>
  <c r="F617"/>
  <c r="E617"/>
  <c r="D617"/>
  <c r="A617"/>
  <c r="AC616"/>
  <c r="R616"/>
  <c r="P616"/>
  <c r="O616"/>
  <c r="N616"/>
  <c r="K616"/>
  <c r="H616"/>
  <c r="G616"/>
  <c r="F616"/>
  <c r="E616"/>
  <c r="D616"/>
  <c r="A616"/>
  <c r="AC615"/>
  <c r="R615"/>
  <c r="P615"/>
  <c r="O615"/>
  <c r="N615"/>
  <c r="K615"/>
  <c r="H615"/>
  <c r="G615"/>
  <c r="F615"/>
  <c r="E615"/>
  <c r="D615"/>
  <c r="A615"/>
  <c r="AC614"/>
  <c r="R614"/>
  <c r="P614"/>
  <c r="O614"/>
  <c r="N614"/>
  <c r="K614"/>
  <c r="H614"/>
  <c r="G614"/>
  <c r="F614"/>
  <c r="E614"/>
  <c r="D614"/>
  <c r="A614"/>
  <c r="AC613"/>
  <c r="R613"/>
  <c r="P613"/>
  <c r="O613"/>
  <c r="N613"/>
  <c r="K613"/>
  <c r="H613"/>
  <c r="G613"/>
  <c r="F613"/>
  <c r="E613"/>
  <c r="D613"/>
  <c r="A613"/>
  <c r="AC612"/>
  <c r="R612"/>
  <c r="P612"/>
  <c r="O612"/>
  <c r="N612"/>
  <c r="K612"/>
  <c r="H612"/>
  <c r="G612"/>
  <c r="F612"/>
  <c r="E612"/>
  <c r="D612"/>
  <c r="A612"/>
  <c r="AC611"/>
  <c r="R611"/>
  <c r="P611"/>
  <c r="O611"/>
  <c r="N611"/>
  <c r="K611"/>
  <c r="H611"/>
  <c r="G611"/>
  <c r="F611"/>
  <c r="E611"/>
  <c r="D611"/>
  <c r="A611"/>
  <c r="AC610"/>
  <c r="R610"/>
  <c r="P610"/>
  <c r="O610"/>
  <c r="N610"/>
  <c r="K610"/>
  <c r="H610"/>
  <c r="G610"/>
  <c r="F610"/>
  <c r="E610"/>
  <c r="D610"/>
  <c r="A610"/>
  <c r="AC609"/>
  <c r="R609"/>
  <c r="P609"/>
  <c r="O609"/>
  <c r="N609"/>
  <c r="K609"/>
  <c r="H609"/>
  <c r="G609"/>
  <c r="F609"/>
  <c r="E609"/>
  <c r="D609"/>
  <c r="A609"/>
  <c r="AC8"/>
  <c r="R8"/>
  <c r="P8"/>
  <c r="O8"/>
  <c r="N8"/>
  <c r="K8"/>
  <c r="H8"/>
  <c r="G8"/>
  <c r="F8"/>
  <c r="E8"/>
  <c r="D8"/>
  <c r="A8"/>
  <c r="AC608"/>
  <c r="R608"/>
  <c r="P608"/>
  <c r="O608"/>
  <c r="N608"/>
  <c r="K608"/>
  <c r="H608"/>
  <c r="G608"/>
  <c r="F608"/>
  <c r="E608"/>
  <c r="D608"/>
  <c r="A608"/>
  <c r="AC607"/>
  <c r="R607"/>
  <c r="P607"/>
  <c r="O607"/>
  <c r="N607"/>
  <c r="K607"/>
  <c r="H607"/>
  <c r="G607"/>
  <c r="F607"/>
  <c r="E607"/>
  <c r="D607"/>
  <c r="A607"/>
  <c r="AC606"/>
  <c r="R606"/>
  <c r="P606"/>
  <c r="O606"/>
  <c r="N606"/>
  <c r="K606"/>
  <c r="H606"/>
  <c r="G606"/>
  <c r="F606"/>
  <c r="E606"/>
  <c r="D606"/>
  <c r="A606"/>
  <c r="AC605"/>
  <c r="R605"/>
  <c r="P605"/>
  <c r="O605"/>
  <c r="N605"/>
  <c r="K605"/>
  <c r="H605"/>
  <c r="G605"/>
  <c r="F605"/>
  <c r="E605"/>
  <c r="D605"/>
  <c r="A605"/>
  <c r="AC604"/>
  <c r="R604"/>
  <c r="P604"/>
  <c r="O604"/>
  <c r="N604"/>
  <c r="K604"/>
  <c r="H604"/>
  <c r="G604"/>
  <c r="F604"/>
  <c r="E604"/>
  <c r="D604"/>
  <c r="A604"/>
  <c r="AC603"/>
  <c r="R603"/>
  <c r="P603"/>
  <c r="O603"/>
  <c r="N603"/>
  <c r="K603"/>
  <c r="H603"/>
  <c r="G603"/>
  <c r="F603"/>
  <c r="E603"/>
  <c r="D603"/>
  <c r="A603"/>
  <c r="AC5"/>
  <c r="R5"/>
  <c r="P5"/>
  <c r="O5"/>
  <c r="N5"/>
  <c r="K5"/>
  <c r="H5"/>
  <c r="G5"/>
  <c r="F5"/>
  <c r="E5"/>
  <c r="D5"/>
  <c r="A5"/>
  <c r="AC602"/>
  <c r="R602"/>
  <c r="P602"/>
  <c r="O602"/>
  <c r="N602"/>
  <c r="K602"/>
  <c r="H602"/>
  <c r="G602"/>
  <c r="F602"/>
  <c r="E602"/>
  <c r="D602"/>
  <c r="A602"/>
  <c r="AC601"/>
  <c r="R601"/>
  <c r="P601"/>
  <c r="O601"/>
  <c r="N601"/>
  <c r="K601"/>
  <c r="H601"/>
  <c r="G601"/>
  <c r="F601"/>
  <c r="E601"/>
  <c r="D601"/>
  <c r="A601"/>
  <c r="AC227"/>
  <c r="R227"/>
  <c r="P227"/>
  <c r="O227"/>
  <c r="N227"/>
  <c r="K227"/>
  <c r="H227"/>
  <c r="G227"/>
  <c r="F227"/>
  <c r="E227"/>
  <c r="D227"/>
  <c r="A227"/>
  <c r="AC600"/>
  <c r="R600"/>
  <c r="P600"/>
  <c r="O600"/>
  <c r="N600"/>
  <c r="K600"/>
  <c r="H600"/>
  <c r="G600"/>
  <c r="F600"/>
  <c r="E600"/>
  <c r="D600"/>
  <c r="A600"/>
  <c r="AC599"/>
  <c r="R599"/>
  <c r="P599"/>
  <c r="O599"/>
  <c r="N599"/>
  <c r="K599"/>
  <c r="H599"/>
  <c r="G599"/>
  <c r="F599"/>
  <c r="E599"/>
  <c r="D599"/>
  <c r="A599"/>
  <c r="AC598"/>
  <c r="R598"/>
  <c r="P598"/>
  <c r="O598"/>
  <c r="N598"/>
  <c r="K598"/>
  <c r="H598"/>
  <c r="G598"/>
  <c r="F598"/>
  <c r="E598"/>
  <c r="D598"/>
  <c r="A598"/>
  <c r="AC47"/>
  <c r="R47"/>
  <c r="P47"/>
  <c r="O47"/>
  <c r="N47"/>
  <c r="K47"/>
  <c r="H47"/>
  <c r="G47"/>
  <c r="F47"/>
  <c r="E47"/>
  <c r="D47"/>
  <c r="A47"/>
  <c r="AC597"/>
  <c r="R597"/>
  <c r="P597"/>
  <c r="O597"/>
  <c r="N597"/>
  <c r="K597"/>
  <c r="H597"/>
  <c r="G597"/>
  <c r="F597"/>
  <c r="E597"/>
  <c r="D597"/>
  <c r="A597"/>
  <c r="AC596"/>
  <c r="R596"/>
  <c r="P596"/>
  <c r="O596"/>
  <c r="N596"/>
  <c r="K596"/>
  <c r="H596"/>
  <c r="G596"/>
  <c r="F596"/>
  <c r="E596"/>
  <c r="D596"/>
  <c r="A596"/>
  <c r="AC595"/>
  <c r="R595"/>
  <c r="P595"/>
  <c r="O595"/>
  <c r="N595"/>
  <c r="K595"/>
  <c r="H595"/>
  <c r="G595"/>
  <c r="F595"/>
  <c r="E595"/>
  <c r="D595"/>
  <c r="A595"/>
  <c r="AC594"/>
  <c r="R594"/>
  <c r="P594"/>
  <c r="O594"/>
  <c r="N594"/>
  <c r="K594"/>
  <c r="H594"/>
  <c r="G594"/>
  <c r="F594"/>
  <c r="E594"/>
  <c r="D594"/>
  <c r="A594"/>
  <c r="AC593"/>
  <c r="R593"/>
  <c r="P593"/>
  <c r="O593"/>
  <c r="N593"/>
  <c r="K593"/>
  <c r="H593"/>
  <c r="G593"/>
  <c r="F593"/>
  <c r="E593"/>
  <c r="D593"/>
  <c r="A593"/>
  <c r="AC592"/>
  <c r="R592"/>
  <c r="P592"/>
  <c r="O592"/>
  <c r="N592"/>
  <c r="K592"/>
  <c r="H592"/>
  <c r="G592"/>
  <c r="F592"/>
  <c r="E592"/>
  <c r="D592"/>
  <c r="A592"/>
  <c r="AC591"/>
  <c r="R591"/>
  <c r="P591"/>
  <c r="O591"/>
  <c r="N591"/>
  <c r="K591"/>
  <c r="H591"/>
  <c r="G591"/>
  <c r="F591"/>
  <c r="E591"/>
  <c r="D591"/>
  <c r="A591"/>
  <c r="AC213"/>
  <c r="R213"/>
  <c r="P213"/>
  <c r="O213"/>
  <c r="N213"/>
  <c r="K213"/>
  <c r="H213"/>
  <c r="G213"/>
  <c r="F213"/>
  <c r="E213"/>
  <c r="D213"/>
  <c r="A213"/>
  <c r="AC590"/>
  <c r="R590"/>
  <c r="P590"/>
  <c r="O590"/>
  <c r="N590"/>
  <c r="K590"/>
  <c r="H590"/>
  <c r="G590"/>
  <c r="F590"/>
  <c r="E590"/>
  <c r="D590"/>
  <c r="A590"/>
  <c r="AC193"/>
  <c r="R193"/>
  <c r="P193"/>
  <c r="O193"/>
  <c r="N193"/>
  <c r="K193"/>
  <c r="H193"/>
  <c r="G193"/>
  <c r="F193"/>
  <c r="E193"/>
  <c r="D193"/>
  <c r="A193"/>
  <c r="AC243"/>
  <c r="R243"/>
  <c r="P243"/>
  <c r="O243"/>
  <c r="N243"/>
  <c r="K243"/>
  <c r="H243"/>
  <c r="G243"/>
  <c r="F243"/>
  <c r="E243"/>
  <c r="D243"/>
  <c r="A243"/>
  <c r="AC589"/>
  <c r="R589"/>
  <c r="P589"/>
  <c r="O589"/>
  <c r="N589"/>
  <c r="K589"/>
  <c r="H589"/>
  <c r="G589"/>
  <c r="F589"/>
  <c r="E589"/>
  <c r="D589"/>
  <c r="A589"/>
  <c r="AC56"/>
  <c r="R56"/>
  <c r="P56"/>
  <c r="O56"/>
  <c r="N56"/>
  <c r="K56"/>
  <c r="H56"/>
  <c r="G56"/>
  <c r="F56"/>
  <c r="E56"/>
  <c r="D56"/>
  <c r="A56"/>
  <c r="AC588"/>
  <c r="R588"/>
  <c r="P588"/>
  <c r="O588"/>
  <c r="N588"/>
  <c r="K588"/>
  <c r="H588"/>
  <c r="G588"/>
  <c r="F588"/>
  <c r="E588"/>
  <c r="D588"/>
  <c r="A588"/>
  <c r="AC587"/>
  <c r="R587"/>
  <c r="P587"/>
  <c r="O587"/>
  <c r="N587"/>
  <c r="K587"/>
  <c r="H587"/>
  <c r="G587"/>
  <c r="F587"/>
  <c r="E587"/>
  <c r="D587"/>
  <c r="A587"/>
  <c r="AC586"/>
  <c r="R586"/>
  <c r="P586"/>
  <c r="O586"/>
  <c r="N586"/>
  <c r="K586"/>
  <c r="H586"/>
  <c r="G586"/>
  <c r="F586"/>
  <c r="E586"/>
  <c r="D586"/>
  <c r="A586"/>
  <c r="AC585"/>
  <c r="R585"/>
  <c r="P585"/>
  <c r="O585"/>
  <c r="N585"/>
  <c r="K585"/>
  <c r="H585"/>
  <c r="G585"/>
  <c r="F585"/>
  <c r="E585"/>
  <c r="D585"/>
  <c r="A585"/>
  <c r="AC69"/>
  <c r="R69"/>
  <c r="P69"/>
  <c r="O69"/>
  <c r="N69"/>
  <c r="K69"/>
  <c r="H69"/>
  <c r="G69"/>
  <c r="F69"/>
  <c r="E69"/>
  <c r="D69"/>
  <c r="A69"/>
  <c r="AC231"/>
  <c r="R231"/>
  <c r="P231"/>
  <c r="O231"/>
  <c r="N231"/>
  <c r="K231"/>
  <c r="H231"/>
  <c r="G231"/>
  <c r="F231"/>
  <c r="E231"/>
  <c r="D231"/>
  <c r="A231"/>
  <c r="AC584"/>
  <c r="R584"/>
  <c r="P584"/>
  <c r="O584"/>
  <c r="N584"/>
  <c r="K584"/>
  <c r="H584"/>
  <c r="G584"/>
  <c r="F584"/>
  <c r="E584"/>
  <c r="D584"/>
  <c r="A584"/>
  <c r="AC583"/>
  <c r="R583"/>
  <c r="P583"/>
  <c r="O583"/>
  <c r="N583"/>
  <c r="K583"/>
  <c r="H583"/>
  <c r="G583"/>
  <c r="F583"/>
  <c r="E583"/>
  <c r="D583"/>
  <c r="A583"/>
  <c r="AC582"/>
  <c r="R582"/>
  <c r="P582"/>
  <c r="O582"/>
  <c r="N582"/>
  <c r="K582"/>
  <c r="H582"/>
  <c r="G582"/>
  <c r="F582"/>
  <c r="E582"/>
  <c r="D582"/>
  <c r="A582"/>
  <c r="AC581"/>
  <c r="R581"/>
  <c r="P581"/>
  <c r="O581"/>
  <c r="N581"/>
  <c r="K581"/>
  <c r="H581"/>
  <c r="G581"/>
  <c r="F581"/>
  <c r="E581"/>
  <c r="D581"/>
  <c r="A581"/>
  <c r="AC580"/>
  <c r="R580"/>
  <c r="P580"/>
  <c r="O580"/>
  <c r="N580"/>
  <c r="K580"/>
  <c r="H580"/>
  <c r="G580"/>
  <c r="F580"/>
  <c r="E580"/>
  <c r="D580"/>
  <c r="A580"/>
  <c r="AC579"/>
  <c r="R579"/>
  <c r="P579"/>
  <c r="O579"/>
  <c r="N579"/>
  <c r="K579"/>
  <c r="H579"/>
  <c r="G579"/>
  <c r="F579"/>
  <c r="E579"/>
  <c r="D579"/>
  <c r="A579"/>
  <c r="AC578"/>
  <c r="R578"/>
  <c r="P578"/>
  <c r="O578"/>
  <c r="N578"/>
  <c r="K578"/>
  <c r="H578"/>
  <c r="G578"/>
  <c r="F578"/>
  <c r="E578"/>
  <c r="D578"/>
  <c r="A578"/>
  <c r="AC577"/>
  <c r="R577"/>
  <c r="P577"/>
  <c r="O577"/>
  <c r="N577"/>
  <c r="K577"/>
  <c r="H577"/>
  <c r="G577"/>
  <c r="F577"/>
  <c r="E577"/>
  <c r="D577"/>
  <c r="A577"/>
  <c r="AC576"/>
  <c r="R576"/>
  <c r="P576"/>
  <c r="O576"/>
  <c r="N576"/>
  <c r="K576"/>
  <c r="H576"/>
  <c r="G576"/>
  <c r="F576"/>
  <c r="E576"/>
  <c r="D576"/>
  <c r="A576"/>
  <c r="AC575"/>
  <c r="R575"/>
  <c r="P575"/>
  <c r="O575"/>
  <c r="N575"/>
  <c r="K575"/>
  <c r="H575"/>
  <c r="G575"/>
  <c r="F575"/>
  <c r="E575"/>
  <c r="D575"/>
  <c r="A575"/>
  <c r="AC574"/>
  <c r="R574"/>
  <c r="P574"/>
  <c r="O574"/>
  <c r="N574"/>
  <c r="K574"/>
  <c r="H574"/>
  <c r="G574"/>
  <c r="F574"/>
  <c r="E574"/>
  <c r="D574"/>
  <c r="A574"/>
  <c r="AC168"/>
  <c r="R168"/>
  <c r="P168"/>
  <c r="O168"/>
  <c r="N168"/>
  <c r="K168"/>
  <c r="H168"/>
  <c r="G168"/>
  <c r="F168"/>
  <c r="E168"/>
  <c r="D168"/>
  <c r="A168"/>
  <c r="AC573"/>
  <c r="R573"/>
  <c r="P573"/>
  <c r="O573"/>
  <c r="N573"/>
  <c r="K573"/>
  <c r="H573"/>
  <c r="G573"/>
  <c r="F573"/>
  <c r="E573"/>
  <c r="D573"/>
  <c r="A573"/>
  <c r="AC572"/>
  <c r="R572"/>
  <c r="P572"/>
  <c r="O572"/>
  <c r="N572"/>
  <c r="K572"/>
  <c r="H572"/>
  <c r="G572"/>
  <c r="F572"/>
  <c r="E572"/>
  <c r="D572"/>
  <c r="A572"/>
  <c r="AC571"/>
  <c r="R571"/>
  <c r="P571"/>
  <c r="O571"/>
  <c r="N571"/>
  <c r="K571"/>
  <c r="H571"/>
  <c r="G571"/>
  <c r="F571"/>
  <c r="E571"/>
  <c r="D571"/>
  <c r="A571"/>
  <c r="AC570"/>
  <c r="R570"/>
  <c r="P570"/>
  <c r="O570"/>
  <c r="N570"/>
  <c r="K570"/>
  <c r="H570"/>
  <c r="G570"/>
  <c r="F570"/>
  <c r="E570"/>
  <c r="D570"/>
  <c r="A570"/>
  <c r="AC569"/>
  <c r="R569"/>
  <c r="P569"/>
  <c r="O569"/>
  <c r="N569"/>
  <c r="K569"/>
  <c r="H569"/>
  <c r="G569"/>
  <c r="F569"/>
  <c r="E569"/>
  <c r="D569"/>
  <c r="A569"/>
  <c r="AC568"/>
  <c r="R568"/>
  <c r="P568"/>
  <c r="O568"/>
  <c r="N568"/>
  <c r="K568"/>
  <c r="H568"/>
  <c r="G568"/>
  <c r="F568"/>
  <c r="E568"/>
  <c r="D568"/>
  <c r="A568"/>
  <c r="AC567"/>
  <c r="R567"/>
  <c r="P567"/>
  <c r="O567"/>
  <c r="N567"/>
  <c r="K567"/>
  <c r="H567"/>
  <c r="G567"/>
  <c r="F567"/>
  <c r="E567"/>
  <c r="D567"/>
  <c r="A567"/>
  <c r="AC186"/>
  <c r="R186"/>
  <c r="P186"/>
  <c r="O186"/>
  <c r="N186"/>
  <c r="K186"/>
  <c r="H186"/>
  <c r="G186"/>
  <c r="F186"/>
  <c r="E186"/>
  <c r="D186"/>
  <c r="A186"/>
  <c r="AC566"/>
  <c r="R566"/>
  <c r="P566"/>
  <c r="O566"/>
  <c r="N566"/>
  <c r="K566"/>
  <c r="H566"/>
  <c r="G566"/>
  <c r="F566"/>
  <c r="E566"/>
  <c r="D566"/>
  <c r="A566"/>
  <c r="AC565"/>
  <c r="R565"/>
  <c r="P565"/>
  <c r="O565"/>
  <c r="N565"/>
  <c r="K565"/>
  <c r="H565"/>
  <c r="G565"/>
  <c r="F565"/>
  <c r="E565"/>
  <c r="D565"/>
  <c r="A565"/>
  <c r="AC564"/>
  <c r="R564"/>
  <c r="P564"/>
  <c r="O564"/>
  <c r="N564"/>
  <c r="K564"/>
  <c r="H564"/>
  <c r="G564"/>
  <c r="F564"/>
  <c r="E564"/>
  <c r="D564"/>
  <c r="A564"/>
  <c r="AC233"/>
  <c r="R233"/>
  <c r="P233"/>
  <c r="O233"/>
  <c r="N233"/>
  <c r="K233"/>
  <c r="H233"/>
  <c r="G233"/>
  <c r="F233"/>
  <c r="E233"/>
  <c r="D233"/>
  <c r="A233"/>
  <c r="AC225"/>
  <c r="R225"/>
  <c r="P225"/>
  <c r="O225"/>
  <c r="N225"/>
  <c r="K225"/>
  <c r="H225"/>
  <c r="G225"/>
  <c r="F225"/>
  <c r="E225"/>
  <c r="D225"/>
  <c r="A225"/>
  <c r="AC563"/>
  <c r="R563"/>
  <c r="P563"/>
  <c r="O563"/>
  <c r="N563"/>
  <c r="K563"/>
  <c r="H563"/>
  <c r="G563"/>
  <c r="F563"/>
  <c r="E563"/>
  <c r="D563"/>
  <c r="A563"/>
  <c r="AC143"/>
  <c r="R143"/>
  <c r="P143"/>
  <c r="O143"/>
  <c r="N143"/>
  <c r="K143"/>
  <c r="H143"/>
  <c r="G143"/>
  <c r="F143"/>
  <c r="E143"/>
  <c r="D143"/>
  <c r="A143"/>
  <c r="AC157"/>
  <c r="R157"/>
  <c r="P157"/>
  <c r="O157"/>
  <c r="N157"/>
  <c r="K157"/>
  <c r="H157"/>
  <c r="G157"/>
  <c r="F157"/>
  <c r="E157"/>
  <c r="D157"/>
  <c r="A157"/>
  <c r="AC216"/>
  <c r="R216"/>
  <c r="P216"/>
  <c r="O216"/>
  <c r="N216"/>
  <c r="K216"/>
  <c r="H216"/>
  <c r="G216"/>
  <c r="F216"/>
  <c r="E216"/>
  <c r="D216"/>
  <c r="A216"/>
  <c r="AC562"/>
  <c r="R562"/>
  <c r="P562"/>
  <c r="O562"/>
  <c r="N562"/>
  <c r="K562"/>
  <c r="H562"/>
  <c r="G562"/>
  <c r="F562"/>
  <c r="E562"/>
  <c r="D562"/>
  <c r="A562"/>
  <c r="AC561"/>
  <c r="R561"/>
  <c r="P561"/>
  <c r="O561"/>
  <c r="N561"/>
  <c r="K561"/>
  <c r="H561"/>
  <c r="G561"/>
  <c r="F561"/>
  <c r="E561"/>
  <c r="D561"/>
  <c r="A561"/>
  <c r="AC217"/>
  <c r="R217"/>
  <c r="P217"/>
  <c r="O217"/>
  <c r="N217"/>
  <c r="K217"/>
  <c r="H217"/>
  <c r="G217"/>
  <c r="F217"/>
  <c r="E217"/>
  <c r="D217"/>
  <c r="A217"/>
  <c r="AC560"/>
  <c r="R560"/>
  <c r="P560"/>
  <c r="O560"/>
  <c r="N560"/>
  <c r="K560"/>
  <c r="H560"/>
  <c r="G560"/>
  <c r="F560"/>
  <c r="E560"/>
  <c r="D560"/>
  <c r="A560"/>
  <c r="AC559"/>
  <c r="R559"/>
  <c r="P559"/>
  <c r="O559"/>
  <c r="N559"/>
  <c r="K559"/>
  <c r="H559"/>
  <c r="G559"/>
  <c r="F559"/>
  <c r="E559"/>
  <c r="D559"/>
  <c r="A559"/>
  <c r="AC204"/>
  <c r="R204"/>
  <c r="P204"/>
  <c r="O204"/>
  <c r="N204"/>
  <c r="K204"/>
  <c r="H204"/>
  <c r="G204"/>
  <c r="F204"/>
  <c r="E204"/>
  <c r="D204"/>
  <c r="A204"/>
  <c r="AC212"/>
  <c r="R212"/>
  <c r="P212"/>
  <c r="O212"/>
  <c r="N212"/>
  <c r="K212"/>
  <c r="H212"/>
  <c r="G212"/>
  <c r="F212"/>
  <c r="E212"/>
  <c r="D212"/>
  <c r="A212"/>
  <c r="AC558"/>
  <c r="R558"/>
  <c r="P558"/>
  <c r="O558"/>
  <c r="N558"/>
  <c r="K558"/>
  <c r="H558"/>
  <c r="G558"/>
  <c r="F558"/>
  <c r="E558"/>
  <c r="D558"/>
  <c r="A558"/>
  <c r="AC557"/>
  <c r="R557"/>
  <c r="P557"/>
  <c r="O557"/>
  <c r="N557"/>
  <c r="K557"/>
  <c r="H557"/>
  <c r="G557"/>
  <c r="F557"/>
  <c r="E557"/>
  <c r="D557"/>
  <c r="A557"/>
  <c r="AC556"/>
  <c r="R556"/>
  <c r="P556"/>
  <c r="O556"/>
  <c r="N556"/>
  <c r="K556"/>
  <c r="H556"/>
  <c r="G556"/>
  <c r="F556"/>
  <c r="E556"/>
  <c r="D556"/>
  <c r="A556"/>
  <c r="AC555"/>
  <c r="R555"/>
  <c r="P555"/>
  <c r="O555"/>
  <c r="N555"/>
  <c r="K555"/>
  <c r="H555"/>
  <c r="G555"/>
  <c r="F555"/>
  <c r="E555"/>
  <c r="D555"/>
  <c r="A555"/>
  <c r="AC554"/>
  <c r="R554"/>
  <c r="P554"/>
  <c r="O554"/>
  <c r="N554"/>
  <c r="K554"/>
  <c r="H554"/>
  <c r="G554"/>
  <c r="F554"/>
  <c r="E554"/>
  <c r="D554"/>
  <c r="A554"/>
  <c r="AC553"/>
  <c r="R553"/>
  <c r="P553"/>
  <c r="O553"/>
  <c r="N553"/>
  <c r="K553"/>
  <c r="H553"/>
  <c r="G553"/>
  <c r="F553"/>
  <c r="E553"/>
  <c r="D553"/>
  <c r="A553"/>
  <c r="AC552"/>
  <c r="R552"/>
  <c r="P552"/>
  <c r="O552"/>
  <c r="N552"/>
  <c r="K552"/>
  <c r="H552"/>
  <c r="G552"/>
  <c r="F552"/>
  <c r="E552"/>
  <c r="D552"/>
  <c r="A552"/>
  <c r="AC187"/>
  <c r="R187"/>
  <c r="P187"/>
  <c r="O187"/>
  <c r="N187"/>
  <c r="K187"/>
  <c r="H187"/>
  <c r="G187"/>
  <c r="F187"/>
  <c r="E187"/>
  <c r="D187"/>
  <c r="A187"/>
  <c r="AC551"/>
  <c r="R551"/>
  <c r="P551"/>
  <c r="O551"/>
  <c r="N551"/>
  <c r="K551"/>
  <c r="H551"/>
  <c r="G551"/>
  <c r="F551"/>
  <c r="E551"/>
  <c r="D551"/>
  <c r="A551"/>
  <c r="AC101"/>
  <c r="R101"/>
  <c r="P101"/>
  <c r="O101"/>
  <c r="N101"/>
  <c r="K101"/>
  <c r="H101"/>
  <c r="G101"/>
  <c r="F101"/>
  <c r="E101"/>
  <c r="D101"/>
  <c r="A101"/>
  <c r="AC120"/>
  <c r="R120"/>
  <c r="P120"/>
  <c r="O120"/>
  <c r="N120"/>
  <c r="K120"/>
  <c r="H120"/>
  <c r="G120"/>
  <c r="F120"/>
  <c r="E120"/>
  <c r="D120"/>
  <c r="A120"/>
  <c r="AC550"/>
  <c r="R550"/>
  <c r="P550"/>
  <c r="O550"/>
  <c r="N550"/>
  <c r="K550"/>
  <c r="H550"/>
  <c r="G550"/>
  <c r="F550"/>
  <c r="E550"/>
  <c r="D550"/>
  <c r="A550"/>
  <c r="AC549"/>
  <c r="R549"/>
  <c r="P549"/>
  <c r="O549"/>
  <c r="N549"/>
  <c r="K549"/>
  <c r="H549"/>
  <c r="G549"/>
  <c r="F549"/>
  <c r="E549"/>
  <c r="D549"/>
  <c r="A549"/>
  <c r="AC548"/>
  <c r="R548"/>
  <c r="P548"/>
  <c r="O548"/>
  <c r="N548"/>
  <c r="K548"/>
  <c r="H548"/>
  <c r="G548"/>
  <c r="F548"/>
  <c r="E548"/>
  <c r="D548"/>
  <c r="A548"/>
  <c r="AC547"/>
  <c r="R547"/>
  <c r="P547"/>
  <c r="O547"/>
  <c r="N547"/>
  <c r="K547"/>
  <c r="H547"/>
  <c r="G547"/>
  <c r="F547"/>
  <c r="E547"/>
  <c r="D547"/>
  <c r="A547"/>
  <c r="AC546"/>
  <c r="R546"/>
  <c r="P546"/>
  <c r="O546"/>
  <c r="N546"/>
  <c r="K546"/>
  <c r="H546"/>
  <c r="G546"/>
  <c r="F546"/>
  <c r="E546"/>
  <c r="D546"/>
  <c r="A546"/>
  <c r="AC545"/>
  <c r="R545"/>
  <c r="P545"/>
  <c r="O545"/>
  <c r="N545"/>
  <c r="K545"/>
  <c r="H545"/>
  <c r="G545"/>
  <c r="F545"/>
  <c r="E545"/>
  <c r="D545"/>
  <c r="A545"/>
  <c r="AC544"/>
  <c r="R544"/>
  <c r="P544"/>
  <c r="O544"/>
  <c r="N544"/>
  <c r="K544"/>
  <c r="H544"/>
  <c r="G544"/>
  <c r="F544"/>
  <c r="E544"/>
  <c r="D544"/>
  <c r="A544"/>
  <c r="AC543"/>
  <c r="R543"/>
  <c r="P543"/>
  <c r="O543"/>
  <c r="N543"/>
  <c r="K543"/>
  <c r="H543"/>
  <c r="G543"/>
  <c r="F543"/>
  <c r="E543"/>
  <c r="D543"/>
  <c r="A543"/>
  <c r="AC542"/>
  <c r="R542"/>
  <c r="P542"/>
  <c r="O542"/>
  <c r="N542"/>
  <c r="K542"/>
  <c r="H542"/>
  <c r="G542"/>
  <c r="F542"/>
  <c r="E542"/>
  <c r="D542"/>
  <c r="A542"/>
  <c r="AC166"/>
  <c r="R166"/>
  <c r="P166"/>
  <c r="O166"/>
  <c r="N166"/>
  <c r="K166"/>
  <c r="H166"/>
  <c r="G166"/>
  <c r="F166"/>
  <c r="E166"/>
  <c r="D166"/>
  <c r="A166"/>
  <c r="AC541"/>
  <c r="R541"/>
  <c r="P541"/>
  <c r="O541"/>
  <c r="N541"/>
  <c r="K541"/>
  <c r="H541"/>
  <c r="G541"/>
  <c r="F541"/>
  <c r="E541"/>
  <c r="D541"/>
  <c r="A541"/>
  <c r="AC93"/>
  <c r="R93"/>
  <c r="P93"/>
  <c r="O93"/>
  <c r="N93"/>
  <c r="K93"/>
  <c r="H93"/>
  <c r="G93"/>
  <c r="F93"/>
  <c r="E93"/>
  <c r="D93"/>
  <c r="A93"/>
  <c r="AC107"/>
  <c r="R107"/>
  <c r="P107"/>
  <c r="O107"/>
  <c r="N107"/>
  <c r="K107"/>
  <c r="H107"/>
  <c r="G107"/>
  <c r="F107"/>
  <c r="E107"/>
  <c r="D107"/>
  <c r="A107"/>
  <c r="AC540"/>
  <c r="R540"/>
  <c r="P540"/>
  <c r="O540"/>
  <c r="N540"/>
  <c r="K540"/>
  <c r="H540"/>
  <c r="G540"/>
  <c r="F540"/>
  <c r="E540"/>
  <c r="D540"/>
  <c r="A540"/>
  <c r="AC33"/>
  <c r="R33"/>
  <c r="P33"/>
  <c r="O33"/>
  <c r="N33"/>
  <c r="K33"/>
  <c r="H33"/>
  <c r="G33"/>
  <c r="F33"/>
  <c r="E33"/>
  <c r="D33"/>
  <c r="A33"/>
  <c r="AC539"/>
  <c r="R539"/>
  <c r="P539"/>
  <c r="O539"/>
  <c r="N539"/>
  <c r="K539"/>
  <c r="H539"/>
  <c r="G539"/>
  <c r="F539"/>
  <c r="E539"/>
  <c r="D539"/>
  <c r="A539"/>
  <c r="AC538"/>
  <c r="R538"/>
  <c r="P538"/>
  <c r="O538"/>
  <c r="N538"/>
  <c r="K538"/>
  <c r="H538"/>
  <c r="G538"/>
  <c r="F538"/>
  <c r="E538"/>
  <c r="D538"/>
  <c r="A538"/>
  <c r="AC537"/>
  <c r="R537"/>
  <c r="P537"/>
  <c r="O537"/>
  <c r="N537"/>
  <c r="K537"/>
  <c r="H537"/>
  <c r="G537"/>
  <c r="F537"/>
  <c r="E537"/>
  <c r="D537"/>
  <c r="A537"/>
  <c r="AC536"/>
  <c r="R536"/>
  <c r="P536"/>
  <c r="O536"/>
  <c r="N536"/>
  <c r="K536"/>
  <c r="H536"/>
  <c r="G536"/>
  <c r="F536"/>
  <c r="E536"/>
  <c r="D536"/>
  <c r="A536"/>
  <c r="AC535"/>
  <c r="R535"/>
  <c r="P535"/>
  <c r="O535"/>
  <c r="N535"/>
  <c r="K535"/>
  <c r="H535"/>
  <c r="G535"/>
  <c r="F535"/>
  <c r="E535"/>
  <c r="D535"/>
  <c r="A535"/>
  <c r="AC534"/>
  <c r="R534"/>
  <c r="P534"/>
  <c r="O534"/>
  <c r="N534"/>
  <c r="K534"/>
  <c r="H534"/>
  <c r="G534"/>
  <c r="F534"/>
  <c r="E534"/>
  <c r="D534"/>
  <c r="A534"/>
  <c r="AC533"/>
  <c r="R533"/>
  <c r="P533"/>
  <c r="O533"/>
  <c r="N533"/>
  <c r="K533"/>
  <c r="H533"/>
  <c r="G533"/>
  <c r="F533"/>
  <c r="E533"/>
  <c r="D533"/>
  <c r="A533"/>
  <c r="AC532"/>
  <c r="R532"/>
  <c r="P532"/>
  <c r="O532"/>
  <c r="N532"/>
  <c r="K532"/>
  <c r="H532"/>
  <c r="G532"/>
  <c r="F532"/>
  <c r="E532"/>
  <c r="D532"/>
  <c r="A532"/>
  <c r="AC21"/>
  <c r="R21"/>
  <c r="P21"/>
  <c r="O21"/>
  <c r="N21"/>
  <c r="K21"/>
  <c r="H21"/>
  <c r="G21"/>
  <c r="F21"/>
  <c r="E21"/>
  <c r="D21"/>
  <c r="A21"/>
  <c r="AC531"/>
  <c r="R531"/>
  <c r="P531"/>
  <c r="O531"/>
  <c r="N531"/>
  <c r="K531"/>
  <c r="H531"/>
  <c r="G531"/>
  <c r="F531"/>
  <c r="E531"/>
  <c r="D531"/>
  <c r="A531"/>
  <c r="AC530"/>
  <c r="R530"/>
  <c r="P530"/>
  <c r="O530"/>
  <c r="N530"/>
  <c r="K530"/>
  <c r="H530"/>
  <c r="G530"/>
  <c r="F530"/>
  <c r="E530"/>
  <c r="D530"/>
  <c r="A530"/>
  <c r="AC108"/>
  <c r="R108"/>
  <c r="P108"/>
  <c r="O108"/>
  <c r="N108"/>
  <c r="K108"/>
  <c r="H108"/>
  <c r="G108"/>
  <c r="F108"/>
  <c r="E108"/>
  <c r="D108"/>
  <c r="A108"/>
  <c r="AC236"/>
  <c r="R236"/>
  <c r="P236"/>
  <c r="O236"/>
  <c r="N236"/>
  <c r="K236"/>
  <c r="H236"/>
  <c r="G236"/>
  <c r="F236"/>
  <c r="E236"/>
  <c r="D236"/>
  <c r="A236"/>
  <c r="AC529"/>
  <c r="R529"/>
  <c r="P529"/>
  <c r="O529"/>
  <c r="N529"/>
  <c r="K529"/>
  <c r="H529"/>
  <c r="G529"/>
  <c r="F529"/>
  <c r="E529"/>
  <c r="D529"/>
  <c r="A529"/>
  <c r="AC127"/>
  <c r="R127"/>
  <c r="P127"/>
  <c r="O127"/>
  <c r="N127"/>
  <c r="K127"/>
  <c r="H127"/>
  <c r="G127"/>
  <c r="F127"/>
  <c r="E127"/>
  <c r="D127"/>
  <c r="A127"/>
  <c r="AC528"/>
  <c r="R528"/>
  <c r="P528"/>
  <c r="O528"/>
  <c r="N528"/>
  <c r="K528"/>
  <c r="H528"/>
  <c r="G528"/>
  <c r="F528"/>
  <c r="E528"/>
  <c r="D528"/>
  <c r="A528"/>
  <c r="AC527"/>
  <c r="R527"/>
  <c r="P527"/>
  <c r="O527"/>
  <c r="N527"/>
  <c r="K527"/>
  <c r="H527"/>
  <c r="G527"/>
  <c r="F527"/>
  <c r="E527"/>
  <c r="D527"/>
  <c r="A527"/>
  <c r="AC109"/>
  <c r="R109"/>
  <c r="P109"/>
  <c r="O109"/>
  <c r="N109"/>
  <c r="K109"/>
  <c r="H109"/>
  <c r="G109"/>
  <c r="F109"/>
  <c r="E109"/>
  <c r="D109"/>
  <c r="A109"/>
  <c r="AC209"/>
  <c r="R209"/>
  <c r="P209"/>
  <c r="O209"/>
  <c r="N209"/>
  <c r="K209"/>
  <c r="H209"/>
  <c r="G209"/>
  <c r="F209"/>
  <c r="E209"/>
  <c r="D209"/>
  <c r="A209"/>
  <c r="AC526"/>
  <c r="R526"/>
  <c r="P526"/>
  <c r="O526"/>
  <c r="N526"/>
  <c r="K526"/>
  <c r="H526"/>
  <c r="G526"/>
  <c r="F526"/>
  <c r="E526"/>
  <c r="D526"/>
  <c r="A526"/>
  <c r="AC525"/>
  <c r="R525"/>
  <c r="P525"/>
  <c r="O525"/>
  <c r="N525"/>
  <c r="K525"/>
  <c r="H525"/>
  <c r="G525"/>
  <c r="F525"/>
  <c r="E525"/>
  <c r="D525"/>
  <c r="A525"/>
  <c r="AC524"/>
  <c r="R524"/>
  <c r="P524"/>
  <c r="O524"/>
  <c r="N524"/>
  <c r="K524"/>
  <c r="H524"/>
  <c r="G524"/>
  <c r="F524"/>
  <c r="E524"/>
  <c r="D524"/>
  <c r="A524"/>
  <c r="AC523"/>
  <c r="R523"/>
  <c r="P523"/>
  <c r="O523"/>
  <c r="N523"/>
  <c r="K523"/>
  <c r="H523"/>
  <c r="G523"/>
  <c r="F523"/>
  <c r="E523"/>
  <c r="D523"/>
  <c r="A523"/>
  <c r="AC522"/>
  <c r="R522"/>
  <c r="P522"/>
  <c r="O522"/>
  <c r="N522"/>
  <c r="K522"/>
  <c r="H522"/>
  <c r="G522"/>
  <c r="F522"/>
  <c r="E522"/>
  <c r="D522"/>
  <c r="A522"/>
  <c r="AC13"/>
  <c r="R13"/>
  <c r="P13"/>
  <c r="O13"/>
  <c r="N13"/>
  <c r="K13"/>
  <c r="H13"/>
  <c r="G13"/>
  <c r="F13"/>
  <c r="E13"/>
  <c r="D13"/>
  <c r="A13"/>
  <c r="AC521"/>
  <c r="R521"/>
  <c r="P521"/>
  <c r="O521"/>
  <c r="N521"/>
  <c r="K521"/>
  <c r="H521"/>
  <c r="G521"/>
  <c r="F521"/>
  <c r="E521"/>
  <c r="D521"/>
  <c r="A521"/>
  <c r="AC39"/>
  <c r="R39"/>
  <c r="P39"/>
  <c r="O39"/>
  <c r="N39"/>
  <c r="K39"/>
  <c r="H39"/>
  <c r="G39"/>
  <c r="F39"/>
  <c r="E39"/>
  <c r="D39"/>
  <c r="A39"/>
  <c r="AC57"/>
  <c r="R57"/>
  <c r="P57"/>
  <c r="O57"/>
  <c r="N57"/>
  <c r="K57"/>
  <c r="H57"/>
  <c r="G57"/>
  <c r="F57"/>
  <c r="E57"/>
  <c r="D57"/>
  <c r="A57"/>
  <c r="AC51"/>
  <c r="R51"/>
  <c r="P51"/>
  <c r="O51"/>
  <c r="N51"/>
  <c r="K51"/>
  <c r="H51"/>
  <c r="G51"/>
  <c r="F51"/>
  <c r="E51"/>
  <c r="D51"/>
  <c r="A51"/>
  <c r="AC11"/>
  <c r="R11"/>
  <c r="P11"/>
  <c r="O11"/>
  <c r="N11"/>
  <c r="K11"/>
  <c r="H11"/>
  <c r="G11"/>
  <c r="F11"/>
  <c r="E11"/>
  <c r="D11"/>
  <c r="A11"/>
  <c r="AC55"/>
  <c r="R55"/>
  <c r="P55"/>
  <c r="O55"/>
  <c r="N55"/>
  <c r="K55"/>
  <c r="H55"/>
  <c r="G55"/>
  <c r="F55"/>
  <c r="E55"/>
  <c r="D55"/>
  <c r="A55"/>
  <c r="AC12"/>
  <c r="R12"/>
  <c r="P12"/>
  <c r="O12"/>
  <c r="N12"/>
  <c r="K12"/>
  <c r="H12"/>
  <c r="G12"/>
  <c r="F12"/>
  <c r="E12"/>
  <c r="D12"/>
  <c r="A12"/>
  <c r="AC520"/>
  <c r="R520"/>
  <c r="P520"/>
  <c r="O520"/>
  <c r="N520"/>
  <c r="K520"/>
  <c r="H520"/>
  <c r="G520"/>
  <c r="F520"/>
  <c r="E520"/>
  <c r="D520"/>
  <c r="A520"/>
  <c r="AC519"/>
  <c r="R519"/>
  <c r="P519"/>
  <c r="O519"/>
  <c r="N519"/>
  <c r="K519"/>
  <c r="H519"/>
  <c r="G519"/>
  <c r="F519"/>
  <c r="E519"/>
  <c r="D519"/>
  <c r="A519"/>
  <c r="AC62"/>
  <c r="R62"/>
  <c r="P62"/>
  <c r="O62"/>
  <c r="N62"/>
  <c r="K62"/>
  <c r="H62"/>
  <c r="G62"/>
  <c r="F62"/>
  <c r="E62"/>
  <c r="D62"/>
  <c r="A62"/>
  <c r="AC518"/>
  <c r="R518"/>
  <c r="P518"/>
  <c r="O518"/>
  <c r="N518"/>
  <c r="K518"/>
  <c r="H518"/>
  <c r="G518"/>
  <c r="F518"/>
  <c r="E518"/>
  <c r="D518"/>
  <c r="A518"/>
  <c r="AC175"/>
  <c r="R175"/>
  <c r="P175"/>
  <c r="O175"/>
  <c r="N175"/>
  <c r="K175"/>
  <c r="H175"/>
  <c r="G175"/>
  <c r="F175"/>
  <c r="E175"/>
  <c r="D175"/>
  <c r="A175"/>
  <c r="AC61"/>
  <c r="R61"/>
  <c r="P61"/>
  <c r="O61"/>
  <c r="N61"/>
  <c r="K61"/>
  <c r="H61"/>
  <c r="G61"/>
  <c r="F61"/>
  <c r="E61"/>
  <c r="D61"/>
  <c r="A61"/>
  <c r="AC9"/>
  <c r="R9"/>
  <c r="P9"/>
  <c r="O9"/>
  <c r="N9"/>
  <c r="K9"/>
  <c r="H9"/>
  <c r="G9"/>
  <c r="F9"/>
  <c r="E9"/>
  <c r="D9"/>
  <c r="A9"/>
  <c r="AC202"/>
  <c r="R202"/>
  <c r="P202"/>
  <c r="O202"/>
  <c r="N202"/>
  <c r="K202"/>
  <c r="H202"/>
  <c r="G202"/>
  <c r="F202"/>
  <c r="E202"/>
  <c r="D202"/>
  <c r="A202"/>
  <c r="AC517"/>
  <c r="R517"/>
  <c r="P517"/>
  <c r="O517"/>
  <c r="N517"/>
  <c r="K517"/>
  <c r="H517"/>
  <c r="G517"/>
  <c r="F517"/>
  <c r="E517"/>
  <c r="D517"/>
  <c r="A517"/>
  <c r="AC115"/>
  <c r="R115"/>
  <c r="P115"/>
  <c r="O115"/>
  <c r="N115"/>
  <c r="K115"/>
  <c r="H115"/>
  <c r="G115"/>
  <c r="F115"/>
  <c r="E115"/>
  <c r="D115"/>
  <c r="A115"/>
  <c r="AC516"/>
  <c r="R516"/>
  <c r="P516"/>
  <c r="O516"/>
  <c r="N516"/>
  <c r="K516"/>
  <c r="H516"/>
  <c r="G516"/>
  <c r="F516"/>
  <c r="E516"/>
  <c r="D516"/>
  <c r="A516"/>
  <c r="AC515"/>
  <c r="R515"/>
  <c r="P515"/>
  <c r="O515"/>
  <c r="N515"/>
  <c r="K515"/>
  <c r="H515"/>
  <c r="G515"/>
  <c r="F515"/>
  <c r="E515"/>
  <c r="D515"/>
  <c r="A515"/>
  <c r="AC137"/>
  <c r="R137"/>
  <c r="P137"/>
  <c r="O137"/>
  <c r="N137"/>
  <c r="K137"/>
  <c r="H137"/>
  <c r="G137"/>
  <c r="F137"/>
  <c r="E137"/>
  <c r="D137"/>
  <c r="A137"/>
  <c r="AC87"/>
  <c r="R87"/>
  <c r="P87"/>
  <c r="O87"/>
  <c r="N87"/>
  <c r="K87"/>
  <c r="H87"/>
  <c r="G87"/>
  <c r="F87"/>
  <c r="E87"/>
  <c r="D87"/>
  <c r="A87"/>
  <c r="AC179"/>
  <c r="R179"/>
  <c r="P179"/>
  <c r="O179"/>
  <c r="N179"/>
  <c r="K179"/>
  <c r="H179"/>
  <c r="G179"/>
  <c r="F179"/>
  <c r="E179"/>
  <c r="D179"/>
  <c r="A179"/>
  <c r="AC88"/>
  <c r="R88"/>
  <c r="P88"/>
  <c r="O88"/>
  <c r="N88"/>
  <c r="K88"/>
  <c r="H88"/>
  <c r="G88"/>
  <c r="F88"/>
  <c r="E88"/>
  <c r="D88"/>
  <c r="A88"/>
  <c r="AC134"/>
  <c r="R134"/>
  <c r="P134"/>
  <c r="O134"/>
  <c r="N134"/>
  <c r="K134"/>
  <c r="H134"/>
  <c r="G134"/>
  <c r="F134"/>
  <c r="E134"/>
  <c r="D134"/>
  <c r="A134"/>
  <c r="AC118"/>
  <c r="R118"/>
  <c r="P118"/>
  <c r="O118"/>
  <c r="N118"/>
  <c r="K118"/>
  <c r="H118"/>
  <c r="G118"/>
  <c r="F118"/>
  <c r="E118"/>
  <c r="D118"/>
  <c r="A118"/>
  <c r="AC514"/>
  <c r="R514"/>
  <c r="P514"/>
  <c r="O514"/>
  <c r="N514"/>
  <c r="K514"/>
  <c r="H514"/>
  <c r="G514"/>
  <c r="F514"/>
  <c r="E514"/>
  <c r="D514"/>
  <c r="A514"/>
  <c r="AC83"/>
  <c r="R83"/>
  <c r="P83"/>
  <c r="O83"/>
  <c r="N83"/>
  <c r="K83"/>
  <c r="H83"/>
  <c r="G83"/>
  <c r="F83"/>
  <c r="E83"/>
  <c r="D83"/>
  <c r="A83"/>
  <c r="AC43"/>
  <c r="R43"/>
  <c r="P43"/>
  <c r="O43"/>
  <c r="N43"/>
  <c r="K43"/>
  <c r="H43"/>
  <c r="G43"/>
  <c r="F43"/>
  <c r="E43"/>
  <c r="D43"/>
  <c r="A43"/>
  <c r="AC106"/>
  <c r="R106"/>
  <c r="P106"/>
  <c r="O106"/>
  <c r="N106"/>
  <c r="K106"/>
  <c r="H106"/>
  <c r="G106"/>
  <c r="F106"/>
  <c r="E106"/>
  <c r="D106"/>
  <c r="A106"/>
  <c r="AC176"/>
  <c r="R176"/>
  <c r="P176"/>
  <c r="O176"/>
  <c r="N176"/>
  <c r="K176"/>
  <c r="H176"/>
  <c r="G176"/>
  <c r="F176"/>
  <c r="E176"/>
  <c r="D176"/>
  <c r="A176"/>
  <c r="AC123"/>
  <c r="R123"/>
  <c r="P123"/>
  <c r="O123"/>
  <c r="N123"/>
  <c r="K123"/>
  <c r="H123"/>
  <c r="G123"/>
  <c r="F123"/>
  <c r="E123"/>
  <c r="D123"/>
  <c r="A123"/>
  <c r="AC41"/>
  <c r="R41"/>
  <c r="P41"/>
  <c r="O41"/>
  <c r="N41"/>
  <c r="K41"/>
  <c r="H41"/>
  <c r="G41"/>
  <c r="F41"/>
  <c r="E41"/>
  <c r="D41"/>
  <c r="A41"/>
  <c r="AC513"/>
  <c r="R513"/>
  <c r="P513"/>
  <c r="O513"/>
  <c r="N513"/>
  <c r="K513"/>
  <c r="H513"/>
  <c r="G513"/>
  <c r="F513"/>
  <c r="E513"/>
  <c r="D513"/>
  <c r="A513"/>
  <c r="AC22"/>
  <c r="R22"/>
  <c r="P22"/>
  <c r="O22"/>
  <c r="N22"/>
  <c r="K22"/>
  <c r="H22"/>
  <c r="G22"/>
  <c r="F22"/>
  <c r="E22"/>
  <c r="D22"/>
  <c r="A22"/>
  <c r="AC512"/>
  <c r="R512"/>
  <c r="P512"/>
  <c r="O512"/>
  <c r="N512"/>
  <c r="K512"/>
  <c r="H512"/>
  <c r="G512"/>
  <c r="F512"/>
  <c r="E512"/>
  <c r="D512"/>
  <c r="A512"/>
  <c r="AC511"/>
  <c r="R511"/>
  <c r="P511"/>
  <c r="O511"/>
  <c r="N511"/>
  <c r="K511"/>
  <c r="H511"/>
  <c r="G511"/>
  <c r="F511"/>
  <c r="E511"/>
  <c r="D511"/>
  <c r="A511"/>
  <c r="AC53"/>
  <c r="R53"/>
  <c r="P53"/>
  <c r="O53"/>
  <c r="N53"/>
  <c r="K53"/>
  <c r="H53"/>
  <c r="G53"/>
  <c r="F53"/>
  <c r="E53"/>
  <c r="D53"/>
  <c r="A53"/>
  <c r="AC211"/>
  <c r="R211"/>
  <c r="P211"/>
  <c r="O211"/>
  <c r="N211"/>
  <c r="K211"/>
  <c r="H211"/>
  <c r="G211"/>
  <c r="F211"/>
  <c r="E211"/>
  <c r="D211"/>
  <c r="A211"/>
  <c r="AC510"/>
  <c r="R510"/>
  <c r="P510"/>
  <c r="O510"/>
  <c r="N510"/>
  <c r="K510"/>
  <c r="H510"/>
  <c r="G510"/>
  <c r="F510"/>
  <c r="E510"/>
  <c r="D510"/>
  <c r="A510"/>
  <c r="AC509"/>
  <c r="R509"/>
  <c r="P509"/>
  <c r="O509"/>
  <c r="N509"/>
  <c r="K509"/>
  <c r="H509"/>
  <c r="G509"/>
  <c r="F509"/>
  <c r="E509"/>
  <c r="D509"/>
  <c r="A509"/>
  <c r="AC144"/>
  <c r="R144"/>
  <c r="P144"/>
  <c r="O144"/>
  <c r="N144"/>
  <c r="K144"/>
  <c r="H144"/>
  <c r="G144"/>
  <c r="F144"/>
  <c r="E144"/>
  <c r="D144"/>
  <c r="A144"/>
  <c r="AC128"/>
  <c r="R128"/>
  <c r="P128"/>
  <c r="O128"/>
  <c r="N128"/>
  <c r="K128"/>
  <c r="H128"/>
  <c r="G128"/>
  <c r="F128"/>
  <c r="E128"/>
  <c r="D128"/>
  <c r="A128"/>
  <c r="AC112"/>
  <c r="R112"/>
  <c r="P112"/>
  <c r="O112"/>
  <c r="N112"/>
  <c r="K112"/>
  <c r="H112"/>
  <c r="G112"/>
  <c r="F112"/>
  <c r="E112"/>
  <c r="D112"/>
  <c r="A112"/>
  <c r="AC508"/>
  <c r="R508"/>
  <c r="P508"/>
  <c r="O508"/>
  <c r="N508"/>
  <c r="K508"/>
  <c r="H508"/>
  <c r="G508"/>
  <c r="F508"/>
  <c r="E508"/>
  <c r="D508"/>
  <c r="A508"/>
  <c r="AC507"/>
  <c r="R507"/>
  <c r="P507"/>
  <c r="O507"/>
  <c r="N507"/>
  <c r="K507"/>
  <c r="H507"/>
  <c r="G507"/>
  <c r="F507"/>
  <c r="E507"/>
  <c r="D507"/>
  <c r="A507"/>
  <c r="AC506"/>
  <c r="R506"/>
  <c r="P506"/>
  <c r="O506"/>
  <c r="N506"/>
  <c r="K506"/>
  <c r="H506"/>
  <c r="G506"/>
  <c r="F506"/>
  <c r="E506"/>
  <c r="D506"/>
  <c r="A506"/>
  <c r="AC14"/>
  <c r="R14"/>
  <c r="P14"/>
  <c r="O14"/>
  <c r="N14"/>
  <c r="K14"/>
  <c r="H14"/>
  <c r="G14"/>
  <c r="F14"/>
  <c r="E14"/>
  <c r="D14"/>
  <c r="A14"/>
  <c r="AC65"/>
  <c r="R65"/>
  <c r="P65"/>
  <c r="O65"/>
  <c r="N65"/>
  <c r="K65"/>
  <c r="H65"/>
  <c r="G65"/>
  <c r="F65"/>
  <c r="E65"/>
  <c r="D65"/>
  <c r="A65"/>
  <c r="AC149"/>
  <c r="R149"/>
  <c r="P149"/>
  <c r="O149"/>
  <c r="N149"/>
  <c r="K149"/>
  <c r="H149"/>
  <c r="G149"/>
  <c r="F149"/>
  <c r="E149"/>
  <c r="D149"/>
  <c r="A149"/>
  <c r="AC199"/>
  <c r="R199"/>
  <c r="P199"/>
  <c r="O199"/>
  <c r="N199"/>
  <c r="K199"/>
  <c r="H199"/>
  <c r="G199"/>
  <c r="F199"/>
  <c r="E199"/>
  <c r="D199"/>
  <c r="A199"/>
  <c r="AC505"/>
  <c r="R505"/>
  <c r="P505"/>
  <c r="O505"/>
  <c r="N505"/>
  <c r="K505"/>
  <c r="H505"/>
  <c r="G505"/>
  <c r="F505"/>
  <c r="E505"/>
  <c r="D505"/>
  <c r="A505"/>
  <c r="AC82"/>
  <c r="R82"/>
  <c r="P82"/>
  <c r="O82"/>
  <c r="N82"/>
  <c r="K82"/>
  <c r="H82"/>
  <c r="G82"/>
  <c r="F82"/>
  <c r="E82"/>
  <c r="D82"/>
  <c r="A82"/>
  <c r="AC15"/>
  <c r="R15"/>
  <c r="P15"/>
  <c r="O15"/>
  <c r="N15"/>
  <c r="K15"/>
  <c r="H15"/>
  <c r="G15"/>
  <c r="F15"/>
  <c r="E15"/>
  <c r="D15"/>
  <c r="A15"/>
  <c r="AC504"/>
  <c r="R504"/>
  <c r="P504"/>
  <c r="O504"/>
  <c r="N504"/>
  <c r="K504"/>
  <c r="H504"/>
  <c r="G504"/>
  <c r="F504"/>
  <c r="E504"/>
  <c r="D504"/>
  <c r="A504"/>
  <c r="AC503"/>
  <c r="R503"/>
  <c r="P503"/>
  <c r="O503"/>
  <c r="N503"/>
  <c r="K503"/>
  <c r="H503"/>
  <c r="G503"/>
  <c r="F503"/>
  <c r="E503"/>
  <c r="D503"/>
  <c r="A503"/>
  <c r="AC184"/>
  <c r="R184"/>
  <c r="P184"/>
  <c r="O184"/>
  <c r="N184"/>
  <c r="K184"/>
  <c r="H184"/>
  <c r="G184"/>
  <c r="F184"/>
  <c r="E184"/>
  <c r="D184"/>
  <c r="A184"/>
  <c r="AC114"/>
  <c r="R114"/>
  <c r="P114"/>
  <c r="O114"/>
  <c r="N114"/>
  <c r="K114"/>
  <c r="H114"/>
  <c r="G114"/>
  <c r="F114"/>
  <c r="E114"/>
  <c r="D114"/>
  <c r="A114"/>
  <c r="AC48"/>
  <c r="R48"/>
  <c r="P48"/>
  <c r="O48"/>
  <c r="N48"/>
  <c r="K48"/>
  <c r="H48"/>
  <c r="G48"/>
  <c r="F48"/>
  <c r="E48"/>
  <c r="D48"/>
  <c r="A48"/>
  <c r="AC35"/>
  <c r="R35"/>
  <c r="P35"/>
  <c r="O35"/>
  <c r="N35"/>
  <c r="K35"/>
  <c r="H35"/>
  <c r="G35"/>
  <c r="F35"/>
  <c r="E35"/>
  <c r="D35"/>
  <c r="A35"/>
  <c r="AC502"/>
  <c r="R502"/>
  <c r="P502"/>
  <c r="O502"/>
  <c r="N502"/>
  <c r="K502"/>
  <c r="H502"/>
  <c r="G502"/>
  <c r="F502"/>
  <c r="E502"/>
  <c r="D502"/>
  <c r="A502"/>
  <c r="AC90"/>
  <c r="R90"/>
  <c r="P90"/>
  <c r="O90"/>
  <c r="N90"/>
  <c r="K90"/>
  <c r="H90"/>
  <c r="G90"/>
  <c r="F90"/>
  <c r="E90"/>
  <c r="D90"/>
  <c r="A90"/>
  <c r="AC194"/>
  <c r="R194"/>
  <c r="P194"/>
  <c r="O194"/>
  <c r="N194"/>
  <c r="K194"/>
  <c r="H194"/>
  <c r="G194"/>
  <c r="F194"/>
  <c r="E194"/>
  <c r="D194"/>
  <c r="A194"/>
  <c r="AC6"/>
  <c r="R6"/>
  <c r="P6"/>
  <c r="O6"/>
  <c r="N6"/>
  <c r="K6"/>
  <c r="H6"/>
  <c r="G6"/>
  <c r="F6"/>
  <c r="E6"/>
  <c r="D6"/>
  <c r="A6"/>
  <c r="AC4"/>
  <c r="R4"/>
  <c r="P4"/>
  <c r="O4"/>
  <c r="N4"/>
  <c r="K4"/>
  <c r="H4"/>
  <c r="G4"/>
  <c r="F4"/>
  <c r="E4"/>
  <c r="D4"/>
  <c r="A4"/>
  <c r="AC501"/>
  <c r="R501"/>
  <c r="P501"/>
  <c r="O501"/>
  <c r="N501"/>
  <c r="K501"/>
  <c r="H501"/>
  <c r="G501"/>
  <c r="F501"/>
  <c r="E501"/>
  <c r="D501"/>
  <c r="A501"/>
  <c r="AC235"/>
  <c r="R235"/>
  <c r="P235"/>
  <c r="O235"/>
  <c r="N235"/>
  <c r="K235"/>
  <c r="H235"/>
  <c r="G235"/>
  <c r="F235"/>
  <c r="E235"/>
  <c r="D235"/>
  <c r="A235"/>
  <c r="AC500"/>
  <c r="R500"/>
  <c r="P500"/>
  <c r="O500"/>
  <c r="N500"/>
  <c r="K500"/>
  <c r="H500"/>
  <c r="G500"/>
  <c r="F500"/>
  <c r="E500"/>
  <c r="D500"/>
  <c r="A500"/>
  <c r="AC237"/>
  <c r="R237"/>
  <c r="P237"/>
  <c r="O237"/>
  <c r="N237"/>
  <c r="K237"/>
  <c r="H237"/>
  <c r="G237"/>
  <c r="F237"/>
  <c r="E237"/>
  <c r="D237"/>
  <c r="A237"/>
  <c r="AC238"/>
  <c r="R238"/>
  <c r="P238"/>
  <c r="O238"/>
  <c r="N238"/>
  <c r="K238"/>
  <c r="H238"/>
  <c r="G238"/>
  <c r="F238"/>
  <c r="E238"/>
  <c r="D238"/>
  <c r="A238"/>
  <c r="AC499"/>
  <c r="R499"/>
  <c r="P499"/>
  <c r="O499"/>
  <c r="N499"/>
  <c r="K499"/>
  <c r="H499"/>
  <c r="G499"/>
  <c r="F499"/>
  <c r="E499"/>
  <c r="D499"/>
  <c r="A499"/>
  <c r="AC30"/>
  <c r="R30"/>
  <c r="P30"/>
  <c r="O30"/>
  <c r="N30"/>
  <c r="K30"/>
  <c r="H30"/>
  <c r="G30"/>
  <c r="F30"/>
  <c r="E30"/>
  <c r="D30"/>
  <c r="A30"/>
  <c r="AC498"/>
  <c r="R498"/>
  <c r="P498"/>
  <c r="O498"/>
  <c r="N498"/>
  <c r="K498"/>
  <c r="H498"/>
  <c r="G498"/>
  <c r="F498"/>
  <c r="E498"/>
  <c r="D498"/>
  <c r="A498"/>
  <c r="AC497"/>
  <c r="R497"/>
  <c r="P497"/>
  <c r="O497"/>
  <c r="N497"/>
  <c r="K497"/>
  <c r="H497"/>
  <c r="G497"/>
  <c r="F497"/>
  <c r="E497"/>
  <c r="D497"/>
  <c r="A497"/>
  <c r="AC89"/>
  <c r="R89"/>
  <c r="P89"/>
  <c r="O89"/>
  <c r="N89"/>
  <c r="K89"/>
  <c r="H89"/>
  <c r="G89"/>
  <c r="F89"/>
  <c r="E89"/>
  <c r="D89"/>
  <c r="A89"/>
  <c r="AC496"/>
  <c r="R496"/>
  <c r="P496"/>
  <c r="O496"/>
  <c r="N496"/>
  <c r="K496"/>
  <c r="H496"/>
  <c r="G496"/>
  <c r="F496"/>
  <c r="E496"/>
  <c r="D496"/>
  <c r="A496"/>
  <c r="AC495"/>
  <c r="R495"/>
  <c r="P495"/>
  <c r="O495"/>
  <c r="N495"/>
  <c r="K495"/>
  <c r="H495"/>
  <c r="G495"/>
  <c r="F495"/>
  <c r="E495"/>
  <c r="D495"/>
  <c r="A495"/>
  <c r="AC494"/>
  <c r="R494"/>
  <c r="P494"/>
  <c r="O494"/>
  <c r="N494"/>
  <c r="K494"/>
  <c r="H494"/>
  <c r="G494"/>
  <c r="F494"/>
  <c r="E494"/>
  <c r="D494"/>
  <c r="A494"/>
  <c r="AC138"/>
  <c r="R138"/>
  <c r="P138"/>
  <c r="O138"/>
  <c r="N138"/>
  <c r="K138"/>
  <c r="H138"/>
  <c r="G138"/>
  <c r="F138"/>
  <c r="E138"/>
  <c r="D138"/>
  <c r="A138"/>
  <c r="AC493"/>
  <c r="R493"/>
  <c r="P493"/>
  <c r="O493"/>
  <c r="N493"/>
  <c r="K493"/>
  <c r="H493"/>
  <c r="G493"/>
  <c r="F493"/>
  <c r="E493"/>
  <c r="D493"/>
  <c r="A493"/>
  <c r="AC492"/>
  <c r="R492"/>
  <c r="P492"/>
  <c r="O492"/>
  <c r="N492"/>
  <c r="K492"/>
  <c r="H492"/>
  <c r="G492"/>
  <c r="F492"/>
  <c r="E492"/>
  <c r="D492"/>
  <c r="A492"/>
  <c r="AC129"/>
  <c r="R129"/>
  <c r="P129"/>
  <c r="O129"/>
  <c r="N129"/>
  <c r="K129"/>
  <c r="H129"/>
  <c r="G129"/>
  <c r="F129"/>
  <c r="E129"/>
  <c r="D129"/>
  <c r="A129"/>
  <c r="AC77"/>
  <c r="R77"/>
  <c r="P77"/>
  <c r="O77"/>
  <c r="N77"/>
  <c r="K77"/>
  <c r="H77"/>
  <c r="G77"/>
  <c r="F77"/>
  <c r="E77"/>
  <c r="D77"/>
  <c r="A77"/>
  <c r="AC104"/>
  <c r="R104"/>
  <c r="P104"/>
  <c r="O104"/>
  <c r="N104"/>
  <c r="K104"/>
  <c r="H104"/>
  <c r="G104"/>
  <c r="F104"/>
  <c r="E104"/>
  <c r="D104"/>
  <c r="A104"/>
  <c r="AC156"/>
  <c r="R156"/>
  <c r="P156"/>
  <c r="O156"/>
  <c r="N156"/>
  <c r="K156"/>
  <c r="H156"/>
  <c r="G156"/>
  <c r="F156"/>
  <c r="E156"/>
  <c r="D156"/>
  <c r="A156"/>
  <c r="AC491"/>
  <c r="R491"/>
  <c r="P491"/>
  <c r="O491"/>
  <c r="N491"/>
  <c r="K491"/>
  <c r="H491"/>
  <c r="G491"/>
  <c r="F491"/>
  <c r="E491"/>
  <c r="D491"/>
  <c r="A491"/>
  <c r="AC490"/>
  <c r="R490"/>
  <c r="P490"/>
  <c r="O490"/>
  <c r="N490"/>
  <c r="K490"/>
  <c r="H490"/>
  <c r="G490"/>
  <c r="F490"/>
  <c r="E490"/>
  <c r="D490"/>
  <c r="A490"/>
  <c r="AC489"/>
  <c r="R489"/>
  <c r="P489"/>
  <c r="O489"/>
  <c r="N489"/>
  <c r="K489"/>
  <c r="H489"/>
  <c r="G489"/>
  <c r="F489"/>
  <c r="E489"/>
  <c r="D489"/>
  <c r="A489"/>
  <c r="AC18"/>
  <c r="R18"/>
  <c r="P18"/>
  <c r="O18"/>
  <c r="N18"/>
  <c r="K18"/>
  <c r="H18"/>
  <c r="G18"/>
  <c r="F18"/>
  <c r="E18"/>
  <c r="D18"/>
  <c r="A18"/>
  <c r="AC19"/>
  <c r="R19"/>
  <c r="P19"/>
  <c r="O19"/>
  <c r="N19"/>
  <c r="K19"/>
  <c r="H19"/>
  <c r="G19"/>
  <c r="F19"/>
  <c r="E19"/>
  <c r="D19"/>
  <c r="A19"/>
  <c r="AC488"/>
  <c r="R488"/>
  <c r="P488"/>
  <c r="O488"/>
  <c r="N488"/>
  <c r="K488"/>
  <c r="H488"/>
  <c r="G488"/>
  <c r="F488"/>
  <c r="E488"/>
  <c r="D488"/>
  <c r="A488"/>
  <c r="AC487"/>
  <c r="R487"/>
  <c r="P487"/>
  <c r="O487"/>
  <c r="N487"/>
  <c r="K487"/>
  <c r="H487"/>
  <c r="G487"/>
  <c r="F487"/>
  <c r="E487"/>
  <c r="D487"/>
  <c r="A487"/>
  <c r="AC486"/>
  <c r="R486"/>
  <c r="P486"/>
  <c r="O486"/>
  <c r="N486"/>
  <c r="K486"/>
  <c r="H486"/>
  <c r="G486"/>
  <c r="F486"/>
  <c r="E486"/>
  <c r="D486"/>
  <c r="A486"/>
  <c r="AC485"/>
  <c r="R485"/>
  <c r="P485"/>
  <c r="O485"/>
  <c r="N485"/>
  <c r="K485"/>
  <c r="H485"/>
  <c r="G485"/>
  <c r="F485"/>
  <c r="E485"/>
  <c r="D485"/>
  <c r="A485"/>
  <c r="AC484"/>
  <c r="R484"/>
  <c r="P484"/>
  <c r="O484"/>
  <c r="N484"/>
  <c r="K484"/>
  <c r="H484"/>
  <c r="G484"/>
  <c r="F484"/>
  <c r="E484"/>
  <c r="D484"/>
  <c r="A484"/>
  <c r="AC145"/>
  <c r="R145"/>
  <c r="P145"/>
  <c r="O145"/>
  <c r="N145"/>
  <c r="K145"/>
  <c r="H145"/>
  <c r="G145"/>
  <c r="F145"/>
  <c r="E145"/>
  <c r="D145"/>
  <c r="A145"/>
  <c r="AC126"/>
  <c r="R126"/>
  <c r="P126"/>
  <c r="O126"/>
  <c r="N126"/>
  <c r="K126"/>
  <c r="H126"/>
  <c r="G126"/>
  <c r="F126"/>
  <c r="E126"/>
  <c r="D126"/>
  <c r="A126"/>
  <c r="AC483"/>
  <c r="R483"/>
  <c r="P483"/>
  <c r="O483"/>
  <c r="N483"/>
  <c r="K483"/>
  <c r="H483"/>
  <c r="G483"/>
  <c r="F483"/>
  <c r="E483"/>
  <c r="D483"/>
  <c r="A483"/>
  <c r="AC482"/>
  <c r="R482"/>
  <c r="P482"/>
  <c r="O482"/>
  <c r="N482"/>
  <c r="K482"/>
  <c r="H482"/>
  <c r="G482"/>
  <c r="F482"/>
  <c r="E482"/>
  <c r="D482"/>
  <c r="A482"/>
  <c r="AC155"/>
  <c r="R155"/>
  <c r="P155"/>
  <c r="O155"/>
  <c r="N155"/>
  <c r="K155"/>
  <c r="H155"/>
  <c r="G155"/>
  <c r="F155"/>
  <c r="E155"/>
  <c r="D155"/>
  <c r="A155"/>
  <c r="AC481"/>
  <c r="R481"/>
  <c r="P481"/>
  <c r="O481"/>
  <c r="N481"/>
  <c r="K481"/>
  <c r="H481"/>
  <c r="G481"/>
  <c r="F481"/>
  <c r="E481"/>
  <c r="D481"/>
  <c r="A481"/>
  <c r="AC480"/>
  <c r="R480"/>
  <c r="P480"/>
  <c r="O480"/>
  <c r="N480"/>
  <c r="K480"/>
  <c r="H480"/>
  <c r="G480"/>
  <c r="F480"/>
  <c r="E480"/>
  <c r="D480"/>
  <c r="A480"/>
  <c r="AC241"/>
  <c r="R241"/>
  <c r="P241"/>
  <c r="O241"/>
  <c r="N241"/>
  <c r="K241"/>
  <c r="H241"/>
  <c r="G241"/>
  <c r="F241"/>
  <c r="E241"/>
  <c r="D241"/>
  <c r="A241"/>
  <c r="AC185"/>
  <c r="R185"/>
  <c r="P185"/>
  <c r="O185"/>
  <c r="N185"/>
  <c r="K185"/>
  <c r="H185"/>
  <c r="G185"/>
  <c r="F185"/>
  <c r="E185"/>
  <c r="D185"/>
  <c r="A185"/>
  <c r="AC130"/>
  <c r="R130"/>
  <c r="P130"/>
  <c r="O130"/>
  <c r="N130"/>
  <c r="K130"/>
  <c r="H130"/>
  <c r="G130"/>
  <c r="F130"/>
  <c r="E130"/>
  <c r="D130"/>
  <c r="A130"/>
  <c r="AC479"/>
  <c r="R479"/>
  <c r="P479"/>
  <c r="O479"/>
  <c r="N479"/>
  <c r="K479"/>
  <c r="H479"/>
  <c r="G479"/>
  <c r="F479"/>
  <c r="E479"/>
  <c r="D479"/>
  <c r="A479"/>
  <c r="AC478"/>
  <c r="R478"/>
  <c r="P478"/>
  <c r="O478"/>
  <c r="N478"/>
  <c r="K478"/>
  <c r="H478"/>
  <c r="G478"/>
  <c r="F478"/>
  <c r="E478"/>
  <c r="D478"/>
  <c r="A478"/>
  <c r="AC191"/>
  <c r="R191"/>
  <c r="P191"/>
  <c r="O191"/>
  <c r="N191"/>
  <c r="K191"/>
  <c r="H191"/>
  <c r="G191"/>
  <c r="F191"/>
  <c r="E191"/>
  <c r="D191"/>
  <c r="A191"/>
  <c r="AC172"/>
  <c r="R172"/>
  <c r="P172"/>
  <c r="O172"/>
  <c r="N172"/>
  <c r="K172"/>
  <c r="H172"/>
  <c r="G172"/>
  <c r="F172"/>
  <c r="E172"/>
  <c r="D172"/>
  <c r="A172"/>
  <c r="AC214"/>
  <c r="R214"/>
  <c r="P214"/>
  <c r="O214"/>
  <c r="N214"/>
  <c r="K214"/>
  <c r="H214"/>
  <c r="G214"/>
  <c r="F214"/>
  <c r="E214"/>
  <c r="D214"/>
  <c r="A214"/>
  <c r="AC477"/>
  <c r="R477"/>
  <c r="P477"/>
  <c r="O477"/>
  <c r="N477"/>
  <c r="K477"/>
  <c r="H477"/>
  <c r="G477"/>
  <c r="F477"/>
  <c r="E477"/>
  <c r="D477"/>
  <c r="A477"/>
  <c r="AC158"/>
  <c r="R158"/>
  <c r="P158"/>
  <c r="O158"/>
  <c r="N158"/>
  <c r="K158"/>
  <c r="H158"/>
  <c r="G158"/>
  <c r="F158"/>
  <c r="E158"/>
  <c r="D158"/>
  <c r="A158"/>
  <c r="AC183"/>
  <c r="R183"/>
  <c r="P183"/>
  <c r="O183"/>
  <c r="N183"/>
  <c r="K183"/>
  <c r="H183"/>
  <c r="G183"/>
  <c r="F183"/>
  <c r="E183"/>
  <c r="D183"/>
  <c r="A183"/>
  <c r="AC7"/>
  <c r="R7"/>
  <c r="P7"/>
  <c r="O7"/>
  <c r="N7"/>
  <c r="K7"/>
  <c r="H7"/>
  <c r="G7"/>
  <c r="F7"/>
  <c r="E7"/>
  <c r="D7"/>
  <c r="A7"/>
  <c r="AC476"/>
  <c r="R476"/>
  <c r="P476"/>
  <c r="O476"/>
  <c r="N476"/>
  <c r="K476"/>
  <c r="H476"/>
  <c r="G476"/>
  <c r="F476"/>
  <c r="E476"/>
  <c r="D476"/>
  <c r="A476"/>
  <c r="AC475"/>
  <c r="R475"/>
  <c r="P475"/>
  <c r="O475"/>
  <c r="N475"/>
  <c r="K475"/>
  <c r="H475"/>
  <c r="G475"/>
  <c r="F475"/>
  <c r="E475"/>
  <c r="D475"/>
  <c r="A475"/>
  <c r="AC59"/>
  <c r="R59"/>
  <c r="P59"/>
  <c r="O59"/>
  <c r="N59"/>
  <c r="K59"/>
  <c r="H59"/>
  <c r="G59"/>
  <c r="F59"/>
  <c r="E59"/>
  <c r="D59"/>
  <c r="A59"/>
  <c r="AC474"/>
  <c r="R474"/>
  <c r="P474"/>
  <c r="O474"/>
  <c r="N474"/>
  <c r="K474"/>
  <c r="H474"/>
  <c r="G474"/>
  <c r="F474"/>
  <c r="E474"/>
  <c r="D474"/>
  <c r="A474"/>
  <c r="AC169"/>
  <c r="R169"/>
  <c r="P169"/>
  <c r="O169"/>
  <c r="N169"/>
  <c r="K169"/>
  <c r="H169"/>
  <c r="G169"/>
  <c r="F169"/>
  <c r="E169"/>
  <c r="D169"/>
  <c r="A169"/>
  <c r="AC197"/>
  <c r="R197"/>
  <c r="P197"/>
  <c r="O197"/>
  <c r="N197"/>
  <c r="K197"/>
  <c r="H197"/>
  <c r="G197"/>
  <c r="F197"/>
  <c r="E197"/>
  <c r="D197"/>
  <c r="A197"/>
  <c r="AC201"/>
  <c r="R201"/>
  <c r="P201"/>
  <c r="O201"/>
  <c r="N201"/>
  <c r="K201"/>
  <c r="H201"/>
  <c r="G201"/>
  <c r="F201"/>
  <c r="E201"/>
  <c r="D201"/>
  <c r="A201"/>
  <c r="AC473"/>
  <c r="R473"/>
  <c r="P473"/>
  <c r="O473"/>
  <c r="N473"/>
  <c r="K473"/>
  <c r="H473"/>
  <c r="G473"/>
  <c r="F473"/>
  <c r="E473"/>
  <c r="D473"/>
  <c r="A473"/>
  <c r="AC472"/>
  <c r="R472"/>
  <c r="P472"/>
  <c r="O472"/>
  <c r="N472"/>
  <c r="K472"/>
  <c r="H472"/>
  <c r="G472"/>
  <c r="F472"/>
  <c r="E472"/>
  <c r="D472"/>
  <c r="A472"/>
  <c r="AC234"/>
  <c r="R234"/>
  <c r="P234"/>
  <c r="O234"/>
  <c r="N234"/>
  <c r="K234"/>
  <c r="H234"/>
  <c r="G234"/>
  <c r="F234"/>
  <c r="E234"/>
  <c r="D234"/>
  <c r="A234"/>
  <c r="AC471"/>
  <c r="R471"/>
  <c r="P471"/>
  <c r="O471"/>
  <c r="N471"/>
  <c r="K471"/>
  <c r="H471"/>
  <c r="G471"/>
  <c r="F471"/>
  <c r="E471"/>
  <c r="D471"/>
  <c r="A471"/>
  <c r="AC470"/>
  <c r="R470"/>
  <c r="P470"/>
  <c r="O470"/>
  <c r="N470"/>
  <c r="K470"/>
  <c r="H470"/>
  <c r="G470"/>
  <c r="F470"/>
  <c r="E470"/>
  <c r="D470"/>
  <c r="A470"/>
  <c r="AC469"/>
  <c r="R469"/>
  <c r="P469"/>
  <c r="O469"/>
  <c r="N469"/>
  <c r="K469"/>
  <c r="H469"/>
  <c r="G469"/>
  <c r="F469"/>
  <c r="E469"/>
  <c r="D469"/>
  <c r="A469"/>
  <c r="AC190"/>
  <c r="R190"/>
  <c r="P190"/>
  <c r="O190"/>
  <c r="N190"/>
  <c r="K190"/>
  <c r="H190"/>
  <c r="G190"/>
  <c r="F190"/>
  <c r="E190"/>
  <c r="D190"/>
  <c r="A190"/>
  <c r="AC84"/>
  <c r="R84"/>
  <c r="P84"/>
  <c r="O84"/>
  <c r="N84"/>
  <c r="K84"/>
  <c r="H84"/>
  <c r="G84"/>
  <c r="F84"/>
  <c r="E84"/>
  <c r="D84"/>
  <c r="A84"/>
  <c r="AC146"/>
  <c r="R146"/>
  <c r="P146"/>
  <c r="O146"/>
  <c r="N146"/>
  <c r="K146"/>
  <c r="H146"/>
  <c r="G146"/>
  <c r="F146"/>
  <c r="E146"/>
  <c r="D146"/>
  <c r="A146"/>
  <c r="AC468"/>
  <c r="R468"/>
  <c r="P468"/>
  <c r="O468"/>
  <c r="N468"/>
  <c r="K468"/>
  <c r="H468"/>
  <c r="G468"/>
  <c r="F468"/>
  <c r="E468"/>
  <c r="D468"/>
  <c r="A468"/>
  <c r="AC467"/>
  <c r="R467"/>
  <c r="P467"/>
  <c r="O467"/>
  <c r="N467"/>
  <c r="K467"/>
  <c r="H467"/>
  <c r="G467"/>
  <c r="F467"/>
  <c r="E467"/>
  <c r="D467"/>
  <c r="A467"/>
  <c r="AC466"/>
  <c r="R466"/>
  <c r="P466"/>
  <c r="O466"/>
  <c r="N466"/>
  <c r="K466"/>
  <c r="H466"/>
  <c r="G466"/>
  <c r="F466"/>
  <c r="E466"/>
  <c r="D466"/>
  <c r="A466"/>
  <c r="AC465"/>
  <c r="R465"/>
  <c r="P465"/>
  <c r="O465"/>
  <c r="N465"/>
  <c r="K465"/>
  <c r="H465"/>
  <c r="G465"/>
  <c r="F465"/>
  <c r="E465"/>
  <c r="D465"/>
  <c r="A465"/>
  <c r="AC464"/>
  <c r="R464"/>
  <c r="P464"/>
  <c r="O464"/>
  <c r="N464"/>
  <c r="K464"/>
  <c r="H464"/>
  <c r="G464"/>
  <c r="F464"/>
  <c r="E464"/>
  <c r="D464"/>
  <c r="A464"/>
  <c r="AC221"/>
  <c r="R221"/>
  <c r="P221"/>
  <c r="O221"/>
  <c r="N221"/>
  <c r="K221"/>
  <c r="H221"/>
  <c r="G221"/>
  <c r="F221"/>
  <c r="E221"/>
  <c r="D221"/>
  <c r="A221"/>
  <c r="AC463"/>
  <c r="R463"/>
  <c r="P463"/>
  <c r="O463"/>
  <c r="N463"/>
  <c r="K463"/>
  <c r="H463"/>
  <c r="G463"/>
  <c r="F463"/>
  <c r="E463"/>
  <c r="D463"/>
  <c r="A463"/>
  <c r="AC462"/>
  <c r="R462"/>
  <c r="P462"/>
  <c r="O462"/>
  <c r="N462"/>
  <c r="K462"/>
  <c r="H462"/>
  <c r="G462"/>
  <c r="F462"/>
  <c r="E462"/>
  <c r="D462"/>
  <c r="A462"/>
  <c r="AC461"/>
  <c r="R461"/>
  <c r="P461"/>
  <c r="O461"/>
  <c r="N461"/>
  <c r="K461"/>
  <c r="H461"/>
  <c r="G461"/>
  <c r="F461"/>
  <c r="E461"/>
  <c r="D461"/>
  <c r="A461"/>
  <c r="AC460"/>
  <c r="R460"/>
  <c r="P460"/>
  <c r="O460"/>
  <c r="N460"/>
  <c r="K460"/>
  <c r="H460"/>
  <c r="G460"/>
  <c r="F460"/>
  <c r="E460"/>
  <c r="D460"/>
  <c r="A460"/>
  <c r="AC459"/>
  <c r="R459"/>
  <c r="P459"/>
  <c r="O459"/>
  <c r="N459"/>
  <c r="K459"/>
  <c r="H459"/>
  <c r="G459"/>
  <c r="F459"/>
  <c r="E459"/>
  <c r="D459"/>
  <c r="A459"/>
  <c r="AC458"/>
  <c r="R458"/>
  <c r="P458"/>
  <c r="O458"/>
  <c r="N458"/>
  <c r="K458"/>
  <c r="H458"/>
  <c r="G458"/>
  <c r="F458"/>
  <c r="E458"/>
  <c r="D458"/>
  <c r="A458"/>
  <c r="AC457"/>
  <c r="R457"/>
  <c r="P457"/>
  <c r="O457"/>
  <c r="N457"/>
  <c r="K457"/>
  <c r="H457"/>
  <c r="G457"/>
  <c r="F457"/>
  <c r="E457"/>
  <c r="D457"/>
  <c r="A457"/>
  <c r="AC456"/>
  <c r="R456"/>
  <c r="P456"/>
  <c r="O456"/>
  <c r="N456"/>
  <c r="K456"/>
  <c r="H456"/>
  <c r="G456"/>
  <c r="F456"/>
  <c r="E456"/>
  <c r="D456"/>
  <c r="A456"/>
  <c r="AC164"/>
  <c r="R164"/>
  <c r="P164"/>
  <c r="O164"/>
  <c r="N164"/>
  <c r="K164"/>
  <c r="H164"/>
  <c r="G164"/>
  <c r="F164"/>
  <c r="E164"/>
  <c r="D164"/>
  <c r="A164"/>
  <c r="AC455"/>
  <c r="R455"/>
  <c r="P455"/>
  <c r="O455"/>
  <c r="N455"/>
  <c r="K455"/>
  <c r="H455"/>
  <c r="G455"/>
  <c r="F455"/>
  <c r="E455"/>
  <c r="D455"/>
  <c r="A455"/>
  <c r="AC454"/>
  <c r="R454"/>
  <c r="P454"/>
  <c r="O454"/>
  <c r="N454"/>
  <c r="K454"/>
  <c r="H454"/>
  <c r="G454"/>
  <c r="F454"/>
  <c r="E454"/>
  <c r="D454"/>
  <c r="A454"/>
  <c r="AC453"/>
  <c r="R453"/>
  <c r="P453"/>
  <c r="O453"/>
  <c r="N453"/>
  <c r="K453"/>
  <c r="H453"/>
  <c r="G453"/>
  <c r="F453"/>
  <c r="E453"/>
  <c r="D453"/>
  <c r="A453"/>
  <c r="AC452"/>
  <c r="R452"/>
  <c r="P452"/>
  <c r="O452"/>
  <c r="N452"/>
  <c r="K452"/>
  <c r="H452"/>
  <c r="G452"/>
  <c r="F452"/>
  <c r="E452"/>
  <c r="D452"/>
  <c r="A452"/>
  <c r="AC24"/>
  <c r="R24"/>
  <c r="P24"/>
  <c r="O24"/>
  <c r="N24"/>
  <c r="K24"/>
  <c r="H24"/>
  <c r="G24"/>
  <c r="F24"/>
  <c r="E24"/>
  <c r="D24"/>
  <c r="A24"/>
  <c r="AC37"/>
  <c r="R37"/>
  <c r="P37"/>
  <c r="O37"/>
  <c r="N37"/>
  <c r="K37"/>
  <c r="H37"/>
  <c r="G37"/>
  <c r="F37"/>
  <c r="E37"/>
  <c r="D37"/>
  <c r="A37"/>
  <c r="AC451"/>
  <c r="R451"/>
  <c r="P451"/>
  <c r="O451"/>
  <c r="N451"/>
  <c r="K451"/>
  <c r="H451"/>
  <c r="G451"/>
  <c r="F451"/>
  <c r="E451"/>
  <c r="D451"/>
  <c r="A451"/>
  <c r="AC244"/>
  <c r="R244"/>
  <c r="P244"/>
  <c r="O244"/>
  <c r="N244"/>
  <c r="K244"/>
  <c r="H244"/>
  <c r="G244"/>
  <c r="F244"/>
  <c r="E244"/>
  <c r="D244"/>
  <c r="A244"/>
  <c r="AC450"/>
  <c r="R450"/>
  <c r="P450"/>
  <c r="O450"/>
  <c r="N450"/>
  <c r="K450"/>
  <c r="H450"/>
  <c r="G450"/>
  <c r="F450"/>
  <c r="E450"/>
  <c r="D450"/>
  <c r="A450"/>
  <c r="AC246"/>
  <c r="R246"/>
  <c r="P246"/>
  <c r="O246"/>
  <c r="N246"/>
  <c r="K246"/>
  <c r="H246"/>
  <c r="G246"/>
  <c r="F246"/>
  <c r="E246"/>
  <c r="D246"/>
  <c r="A246"/>
  <c r="AC245"/>
  <c r="R245"/>
  <c r="P245"/>
  <c r="O245"/>
  <c r="N245"/>
  <c r="K245"/>
  <c r="H245"/>
  <c r="G245"/>
  <c r="F245"/>
  <c r="E245"/>
  <c r="D245"/>
  <c r="A245"/>
  <c r="AC449"/>
  <c r="R449"/>
  <c r="P449"/>
  <c r="O449"/>
  <c r="N449"/>
  <c r="K449"/>
  <c r="H449"/>
  <c r="G449"/>
  <c r="F449"/>
  <c r="E449"/>
  <c r="D449"/>
  <c r="A449"/>
  <c r="AC218"/>
  <c r="R218"/>
  <c r="P218"/>
  <c r="O218"/>
  <c r="N218"/>
  <c r="K218"/>
  <c r="H218"/>
  <c r="G218"/>
  <c r="F218"/>
  <c r="E218"/>
  <c r="D218"/>
  <c r="A218"/>
  <c r="AC448"/>
  <c r="R448"/>
  <c r="P448"/>
  <c r="O448"/>
  <c r="N448"/>
  <c r="K448"/>
  <c r="H448"/>
  <c r="G448"/>
  <c r="F448"/>
  <c r="E448"/>
  <c r="D448"/>
  <c r="A448"/>
  <c r="AC447"/>
  <c r="R447"/>
  <c r="P447"/>
  <c r="O447"/>
  <c r="N447"/>
  <c r="K447"/>
  <c r="H447"/>
  <c r="G447"/>
  <c r="F447"/>
  <c r="E447"/>
  <c r="D447"/>
  <c r="A447"/>
  <c r="AC446"/>
  <c r="R446"/>
  <c r="P446"/>
  <c r="O446"/>
  <c r="N446"/>
  <c r="K446"/>
  <c r="H446"/>
  <c r="G446"/>
  <c r="F446"/>
  <c r="E446"/>
  <c r="D446"/>
  <c r="A446"/>
  <c r="AC177"/>
  <c r="R177"/>
  <c r="P177"/>
  <c r="O177"/>
  <c r="N177"/>
  <c r="K177"/>
  <c r="H177"/>
  <c r="G177"/>
  <c r="F177"/>
  <c r="E177"/>
  <c r="D177"/>
  <c r="A177"/>
  <c r="AC445"/>
  <c r="R445"/>
  <c r="P445"/>
  <c r="O445"/>
  <c r="N445"/>
  <c r="K445"/>
  <c r="H445"/>
  <c r="G445"/>
  <c r="F445"/>
  <c r="E445"/>
  <c r="D445"/>
  <c r="A445"/>
  <c r="AC444"/>
  <c r="R444"/>
  <c r="P444"/>
  <c r="O444"/>
  <c r="N444"/>
  <c r="K444"/>
  <c r="H444"/>
  <c r="G444"/>
  <c r="F444"/>
  <c r="E444"/>
  <c r="D444"/>
  <c r="A444"/>
  <c r="AC50"/>
  <c r="R50"/>
  <c r="P50"/>
  <c r="O50"/>
  <c r="N50"/>
  <c r="K50"/>
  <c r="H50"/>
  <c r="G50"/>
  <c r="F50"/>
  <c r="E50"/>
  <c r="D50"/>
  <c r="A50"/>
  <c r="AC443"/>
  <c r="R443"/>
  <c r="P443"/>
  <c r="O443"/>
  <c r="N443"/>
  <c r="K443"/>
  <c r="H443"/>
  <c r="G443"/>
  <c r="F443"/>
  <c r="E443"/>
  <c r="D443"/>
  <c r="A443"/>
  <c r="AC442"/>
  <c r="R442"/>
  <c r="P442"/>
  <c r="O442"/>
  <c r="N442"/>
  <c r="K442"/>
  <c r="H442"/>
  <c r="G442"/>
  <c r="F442"/>
  <c r="E442"/>
  <c r="D442"/>
  <c r="A442"/>
  <c r="AC441"/>
  <c r="R441"/>
  <c r="P441"/>
  <c r="O441"/>
  <c r="N441"/>
  <c r="K441"/>
  <c r="H441"/>
  <c r="G441"/>
  <c r="F441"/>
  <c r="E441"/>
  <c r="D441"/>
  <c r="A441"/>
  <c r="AC81"/>
  <c r="R81"/>
  <c r="P81"/>
  <c r="O81"/>
  <c r="N81"/>
  <c r="K81"/>
  <c r="H81"/>
  <c r="G81"/>
  <c r="F81"/>
  <c r="E81"/>
  <c r="D81"/>
  <c r="A81"/>
  <c r="AC163"/>
  <c r="R163"/>
  <c r="P163"/>
  <c r="O163"/>
  <c r="N163"/>
  <c r="K163"/>
  <c r="H163"/>
  <c r="G163"/>
  <c r="F163"/>
  <c r="E163"/>
  <c r="D163"/>
  <c r="A163"/>
  <c r="AC440"/>
  <c r="R440"/>
  <c r="P440"/>
  <c r="O440"/>
  <c r="N440"/>
  <c r="K440"/>
  <c r="H440"/>
  <c r="G440"/>
  <c r="F440"/>
  <c r="E440"/>
  <c r="D440"/>
  <c r="A440"/>
  <c r="AC439"/>
  <c r="R439"/>
  <c r="P439"/>
  <c r="O439"/>
  <c r="N439"/>
  <c r="K439"/>
  <c r="H439"/>
  <c r="G439"/>
  <c r="F439"/>
  <c r="E439"/>
  <c r="D439"/>
  <c r="A439"/>
  <c r="AC97"/>
  <c r="R97"/>
  <c r="P97"/>
  <c r="O97"/>
  <c r="N97"/>
  <c r="K97"/>
  <c r="H97"/>
  <c r="G97"/>
  <c r="F97"/>
  <c r="E97"/>
  <c r="D97"/>
  <c r="A97"/>
  <c r="AC17"/>
  <c r="R17"/>
  <c r="P17"/>
  <c r="O17"/>
  <c r="N17"/>
  <c r="K17"/>
  <c r="H17"/>
  <c r="G17"/>
  <c r="F17"/>
  <c r="E17"/>
  <c r="D17"/>
  <c r="A17"/>
  <c r="AC207"/>
  <c r="R207"/>
  <c r="P207"/>
  <c r="O207"/>
  <c r="N207"/>
  <c r="K207"/>
  <c r="H207"/>
  <c r="G207"/>
  <c r="F207"/>
  <c r="E207"/>
  <c r="D207"/>
  <c r="A207"/>
  <c r="AC102"/>
  <c r="R102"/>
  <c r="P102"/>
  <c r="O102"/>
  <c r="N102"/>
  <c r="K102"/>
  <c r="H102"/>
  <c r="G102"/>
  <c r="F102"/>
  <c r="E102"/>
  <c r="D102"/>
  <c r="A102"/>
  <c r="AC68"/>
  <c r="R68"/>
  <c r="P68"/>
  <c r="O68"/>
  <c r="N68"/>
  <c r="K68"/>
  <c r="H68"/>
  <c r="G68"/>
  <c r="F68"/>
  <c r="E68"/>
  <c r="D68"/>
  <c r="A68"/>
  <c r="AC135"/>
  <c r="R135"/>
  <c r="P135"/>
  <c r="O135"/>
  <c r="N135"/>
  <c r="K135"/>
  <c r="H135"/>
  <c r="G135"/>
  <c r="F135"/>
  <c r="E135"/>
  <c r="D135"/>
  <c r="A135"/>
  <c r="AC28"/>
  <c r="R28"/>
  <c r="P28"/>
  <c r="O28"/>
  <c r="N28"/>
  <c r="K28"/>
  <c r="H28"/>
  <c r="G28"/>
  <c r="F28"/>
  <c r="E28"/>
  <c r="D28"/>
  <c r="A28"/>
  <c r="AC438"/>
  <c r="R438"/>
  <c r="P438"/>
  <c r="O438"/>
  <c r="N438"/>
  <c r="K438"/>
  <c r="H438"/>
  <c r="G438"/>
  <c r="F438"/>
  <c r="E438"/>
  <c r="D438"/>
  <c r="A438"/>
  <c r="AC437"/>
  <c r="R437"/>
  <c r="P437"/>
  <c r="O437"/>
  <c r="N437"/>
  <c r="K437"/>
  <c r="H437"/>
  <c r="G437"/>
  <c r="F437"/>
  <c r="E437"/>
  <c r="D437"/>
  <c r="A437"/>
  <c r="AC132"/>
  <c r="R132"/>
  <c r="P132"/>
  <c r="O132"/>
  <c r="N132"/>
  <c r="K132"/>
  <c r="H132"/>
  <c r="G132"/>
  <c r="F132"/>
  <c r="E132"/>
  <c r="D132"/>
  <c r="A132"/>
  <c r="AC436"/>
  <c r="R436"/>
  <c r="P436"/>
  <c r="O436"/>
  <c r="N436"/>
  <c r="K436"/>
  <c r="H436"/>
  <c r="G436"/>
  <c r="F436"/>
  <c r="E436"/>
  <c r="D436"/>
  <c r="A436"/>
  <c r="AC435"/>
  <c r="R435"/>
  <c r="P435"/>
  <c r="O435"/>
  <c r="N435"/>
  <c r="K435"/>
  <c r="H435"/>
  <c r="G435"/>
  <c r="F435"/>
  <c r="E435"/>
  <c r="D435"/>
  <c r="A435"/>
  <c r="AC189"/>
  <c r="R189"/>
  <c r="P189"/>
  <c r="O189"/>
  <c r="N189"/>
  <c r="K189"/>
  <c r="H189"/>
  <c r="G189"/>
  <c r="F189"/>
  <c r="E189"/>
  <c r="D189"/>
  <c r="A189"/>
  <c r="AC224"/>
  <c r="R224"/>
  <c r="P224"/>
  <c r="O224"/>
  <c r="N224"/>
  <c r="K224"/>
  <c r="H224"/>
  <c r="G224"/>
  <c r="F224"/>
  <c r="E224"/>
  <c r="D224"/>
  <c r="A224"/>
  <c r="AC210"/>
  <c r="R210"/>
  <c r="P210"/>
  <c r="O210"/>
  <c r="N210"/>
  <c r="K210"/>
  <c r="H210"/>
  <c r="G210"/>
  <c r="F210"/>
  <c r="E210"/>
  <c r="D210"/>
  <c r="A210"/>
  <c r="AC434"/>
  <c r="R434"/>
  <c r="P434"/>
  <c r="O434"/>
  <c r="N434"/>
  <c r="K434"/>
  <c r="H434"/>
  <c r="G434"/>
  <c r="F434"/>
  <c r="E434"/>
  <c r="D434"/>
  <c r="A434"/>
  <c r="AC433"/>
  <c r="R433"/>
  <c r="P433"/>
  <c r="O433"/>
  <c r="N433"/>
  <c r="K433"/>
  <c r="H433"/>
  <c r="G433"/>
  <c r="F433"/>
  <c r="E433"/>
  <c r="D433"/>
  <c r="A433"/>
  <c r="AC432"/>
  <c r="R432"/>
  <c r="P432"/>
  <c r="O432"/>
  <c r="N432"/>
  <c r="K432"/>
  <c r="H432"/>
  <c r="G432"/>
  <c r="F432"/>
  <c r="E432"/>
  <c r="D432"/>
  <c r="A432"/>
  <c r="AC431"/>
  <c r="R431"/>
  <c r="P431"/>
  <c r="O431"/>
  <c r="N431"/>
  <c r="K431"/>
  <c r="H431"/>
  <c r="G431"/>
  <c r="F431"/>
  <c r="E431"/>
  <c r="D431"/>
  <c r="A431"/>
  <c r="AC58"/>
  <c r="R58"/>
  <c r="P58"/>
  <c r="O58"/>
  <c r="N58"/>
  <c r="K58"/>
  <c r="H58"/>
  <c r="G58"/>
  <c r="F58"/>
  <c r="E58"/>
  <c r="D58"/>
  <c r="A58"/>
  <c r="AC430"/>
  <c r="R430"/>
  <c r="P430"/>
  <c r="O430"/>
  <c r="N430"/>
  <c r="K430"/>
  <c r="H430"/>
  <c r="G430"/>
  <c r="F430"/>
  <c r="E430"/>
  <c r="D430"/>
  <c r="A430"/>
  <c r="AC429"/>
  <c r="R429"/>
  <c r="P429"/>
  <c r="O429"/>
  <c r="N429"/>
  <c r="K429"/>
  <c r="H429"/>
  <c r="G429"/>
  <c r="F429"/>
  <c r="E429"/>
  <c r="D429"/>
  <c r="A429"/>
  <c r="AC428"/>
  <c r="R428"/>
  <c r="P428"/>
  <c r="O428"/>
  <c r="N428"/>
  <c r="K428"/>
  <c r="H428"/>
  <c r="G428"/>
  <c r="F428"/>
  <c r="E428"/>
  <c r="D428"/>
  <c r="A428"/>
  <c r="AC242"/>
  <c r="R242"/>
  <c r="P242"/>
  <c r="O242"/>
  <c r="N242"/>
  <c r="K242"/>
  <c r="H242"/>
  <c r="G242"/>
  <c r="F242"/>
  <c r="E242"/>
  <c r="D242"/>
  <c r="A242"/>
  <c r="AC427"/>
  <c r="R427"/>
  <c r="P427"/>
  <c r="O427"/>
  <c r="N427"/>
  <c r="K427"/>
  <c r="H427"/>
  <c r="G427"/>
  <c r="F427"/>
  <c r="E427"/>
  <c r="D427"/>
  <c r="A427"/>
  <c r="AC426"/>
  <c r="R426"/>
  <c r="P426"/>
  <c r="O426"/>
  <c r="N426"/>
  <c r="K426"/>
  <c r="H426"/>
  <c r="G426"/>
  <c r="F426"/>
  <c r="E426"/>
  <c r="D426"/>
  <c r="A426"/>
  <c r="AC425"/>
  <c r="R425"/>
  <c r="P425"/>
  <c r="O425"/>
  <c r="N425"/>
  <c r="K425"/>
  <c r="H425"/>
  <c r="G425"/>
  <c r="F425"/>
  <c r="E425"/>
  <c r="D425"/>
  <c r="A425"/>
  <c r="AC67"/>
  <c r="R67"/>
  <c r="P67"/>
  <c r="O67"/>
  <c r="N67"/>
  <c r="K67"/>
  <c r="H67"/>
  <c r="G67"/>
  <c r="F67"/>
  <c r="E67"/>
  <c r="D67"/>
  <c r="A67"/>
  <c r="AC424"/>
  <c r="R424"/>
  <c r="P424"/>
  <c r="O424"/>
  <c r="N424"/>
  <c r="K424"/>
  <c r="H424"/>
  <c r="G424"/>
  <c r="F424"/>
  <c r="E424"/>
  <c r="D424"/>
  <c r="A424"/>
  <c r="AC423"/>
  <c r="R423"/>
  <c r="P423"/>
  <c r="O423"/>
  <c r="N423"/>
  <c r="K423"/>
  <c r="H423"/>
  <c r="G423"/>
  <c r="F423"/>
  <c r="E423"/>
  <c r="D423"/>
  <c r="A423"/>
  <c r="AC154"/>
  <c r="R154"/>
  <c r="P154"/>
  <c r="O154"/>
  <c r="N154"/>
  <c r="K154"/>
  <c r="H154"/>
  <c r="G154"/>
  <c r="F154"/>
  <c r="E154"/>
  <c r="D154"/>
  <c r="A154"/>
  <c r="AC45"/>
  <c r="R45"/>
  <c r="P45"/>
  <c r="O45"/>
  <c r="N45"/>
  <c r="K45"/>
  <c r="H45"/>
  <c r="G45"/>
  <c r="F45"/>
  <c r="E45"/>
  <c r="D45"/>
  <c r="A45"/>
  <c r="AC422"/>
  <c r="R422"/>
  <c r="P422"/>
  <c r="O422"/>
  <c r="N422"/>
  <c r="K422"/>
  <c r="H422"/>
  <c r="G422"/>
  <c r="F422"/>
  <c r="E422"/>
  <c r="D422"/>
  <c r="A422"/>
  <c r="AC117"/>
  <c r="R117"/>
  <c r="P117"/>
  <c r="O117"/>
  <c r="N117"/>
  <c r="K117"/>
  <c r="H117"/>
  <c r="G117"/>
  <c r="F117"/>
  <c r="E117"/>
  <c r="D117"/>
  <c r="A117"/>
  <c r="AC421"/>
  <c r="R421"/>
  <c r="P421"/>
  <c r="O421"/>
  <c r="N421"/>
  <c r="K421"/>
  <c r="H421"/>
  <c r="G421"/>
  <c r="F421"/>
  <c r="E421"/>
  <c r="D421"/>
  <c r="A421"/>
  <c r="AC420"/>
  <c r="R420"/>
  <c r="P420"/>
  <c r="O420"/>
  <c r="N420"/>
  <c r="K420"/>
  <c r="H420"/>
  <c r="G420"/>
  <c r="F420"/>
  <c r="E420"/>
  <c r="D420"/>
  <c r="A420"/>
  <c r="AC27"/>
  <c r="R27"/>
  <c r="P27"/>
  <c r="O27"/>
  <c r="N27"/>
  <c r="K27"/>
  <c r="H27"/>
  <c r="G27"/>
  <c r="F27"/>
  <c r="E27"/>
  <c r="D27"/>
  <c r="A27"/>
  <c r="AC419"/>
  <c r="R419"/>
  <c r="P419"/>
  <c r="O419"/>
  <c r="N419"/>
  <c r="K419"/>
  <c r="H419"/>
  <c r="G419"/>
  <c r="F419"/>
  <c r="E419"/>
  <c r="D419"/>
  <c r="A419"/>
  <c r="AC124"/>
  <c r="R124"/>
  <c r="P124"/>
  <c r="O124"/>
  <c r="N124"/>
  <c r="K124"/>
  <c r="H124"/>
  <c r="G124"/>
  <c r="F124"/>
  <c r="E124"/>
  <c r="D124"/>
  <c r="A124"/>
  <c r="AC99"/>
  <c r="R99"/>
  <c r="P99"/>
  <c r="O99"/>
  <c r="N99"/>
  <c r="K99"/>
  <c r="H99"/>
  <c r="G99"/>
  <c r="F99"/>
  <c r="E99"/>
  <c r="D99"/>
  <c r="A99"/>
  <c r="AC25"/>
  <c r="R25"/>
  <c r="P25"/>
  <c r="O25"/>
  <c r="N25"/>
  <c r="K25"/>
  <c r="H25"/>
  <c r="G25"/>
  <c r="F25"/>
  <c r="E25"/>
  <c r="D25"/>
  <c r="A25"/>
  <c r="AC418"/>
  <c r="R418"/>
  <c r="P418"/>
  <c r="O418"/>
  <c r="N418"/>
  <c r="K418"/>
  <c r="H418"/>
  <c r="G418"/>
  <c r="F418"/>
  <c r="E418"/>
  <c r="D418"/>
  <c r="A418"/>
  <c r="AC95"/>
  <c r="R95"/>
  <c r="P95"/>
  <c r="O95"/>
  <c r="N95"/>
  <c r="K95"/>
  <c r="H95"/>
  <c r="G95"/>
  <c r="F95"/>
  <c r="E95"/>
  <c r="D95"/>
  <c r="A95"/>
  <c r="AC228"/>
  <c r="R228"/>
  <c r="P228"/>
  <c r="O228"/>
  <c r="N228"/>
  <c r="K228"/>
  <c r="H228"/>
  <c r="G228"/>
  <c r="F228"/>
  <c r="E228"/>
  <c r="D228"/>
  <c r="A228"/>
  <c r="AC417"/>
  <c r="R417"/>
  <c r="P417"/>
  <c r="O417"/>
  <c r="N417"/>
  <c r="K417"/>
  <c r="H417"/>
  <c r="G417"/>
  <c r="F417"/>
  <c r="E417"/>
  <c r="D417"/>
  <c r="A417"/>
  <c r="AC131"/>
  <c r="R131"/>
  <c r="P131"/>
  <c r="O131"/>
  <c r="N131"/>
  <c r="K131"/>
  <c r="H131"/>
  <c r="G131"/>
  <c r="F131"/>
  <c r="E131"/>
  <c r="D131"/>
  <c r="A131"/>
  <c r="AC139"/>
  <c r="R139"/>
  <c r="P139"/>
  <c r="O139"/>
  <c r="N139"/>
  <c r="K139"/>
  <c r="H139"/>
  <c r="G139"/>
  <c r="F139"/>
  <c r="E139"/>
  <c r="D139"/>
  <c r="A139"/>
  <c r="AC167"/>
  <c r="R167"/>
  <c r="P167"/>
  <c r="O167"/>
  <c r="N167"/>
  <c r="K167"/>
  <c r="H167"/>
  <c r="G167"/>
  <c r="F167"/>
  <c r="E167"/>
  <c r="D167"/>
  <c r="A167"/>
  <c r="AC416"/>
  <c r="R416"/>
  <c r="P416"/>
  <c r="O416"/>
  <c r="N416"/>
  <c r="K416"/>
  <c r="H416"/>
  <c r="G416"/>
  <c r="F416"/>
  <c r="E416"/>
  <c r="D416"/>
  <c r="A416"/>
  <c r="AC415"/>
  <c r="R415"/>
  <c r="P415"/>
  <c r="O415"/>
  <c r="N415"/>
  <c r="K415"/>
  <c r="H415"/>
  <c r="G415"/>
  <c r="F415"/>
  <c r="E415"/>
  <c r="D415"/>
  <c r="A415"/>
  <c r="AC414"/>
  <c r="R414"/>
  <c r="P414"/>
  <c r="O414"/>
  <c r="N414"/>
  <c r="K414"/>
  <c r="H414"/>
  <c r="G414"/>
  <c r="F414"/>
  <c r="E414"/>
  <c r="D414"/>
  <c r="A414"/>
  <c r="AC54"/>
  <c r="R54"/>
  <c r="P54"/>
  <c r="O54"/>
  <c r="N54"/>
  <c r="K54"/>
  <c r="H54"/>
  <c r="G54"/>
  <c r="F54"/>
  <c r="E54"/>
  <c r="D54"/>
  <c r="A54"/>
  <c r="AC413"/>
  <c r="R413"/>
  <c r="P413"/>
  <c r="O413"/>
  <c r="N413"/>
  <c r="K413"/>
  <c r="H413"/>
  <c r="G413"/>
  <c r="F413"/>
  <c r="E413"/>
  <c r="D413"/>
  <c r="A413"/>
  <c r="AC412"/>
  <c r="R412"/>
  <c r="P412"/>
  <c r="O412"/>
  <c r="N412"/>
  <c r="K412"/>
  <c r="H412"/>
  <c r="G412"/>
  <c r="F412"/>
  <c r="E412"/>
  <c r="D412"/>
  <c r="A412"/>
  <c r="AC411"/>
  <c r="R411"/>
  <c r="P411"/>
  <c r="O411"/>
  <c r="N411"/>
  <c r="K411"/>
  <c r="H411"/>
  <c r="G411"/>
  <c r="F411"/>
  <c r="E411"/>
  <c r="D411"/>
  <c r="A411"/>
  <c r="AC205"/>
  <c r="R205"/>
  <c r="P205"/>
  <c r="O205"/>
  <c r="N205"/>
  <c r="K205"/>
  <c r="H205"/>
  <c r="G205"/>
  <c r="F205"/>
  <c r="E205"/>
  <c r="D205"/>
  <c r="A205"/>
  <c r="AC44"/>
  <c r="R44"/>
  <c r="P44"/>
  <c r="O44"/>
  <c r="N44"/>
  <c r="K44"/>
  <c r="H44"/>
  <c r="G44"/>
  <c r="F44"/>
  <c r="E44"/>
  <c r="D44"/>
  <c r="A44"/>
  <c r="AC410"/>
  <c r="R410"/>
  <c r="P410"/>
  <c r="O410"/>
  <c r="N410"/>
  <c r="K410"/>
  <c r="H410"/>
  <c r="G410"/>
  <c r="F410"/>
  <c r="E410"/>
  <c r="D410"/>
  <c r="A410"/>
  <c r="AC409"/>
  <c r="R409"/>
  <c r="P409"/>
  <c r="O409"/>
  <c r="N409"/>
  <c r="K409"/>
  <c r="H409"/>
  <c r="G409"/>
  <c r="F409"/>
  <c r="E409"/>
  <c r="D409"/>
  <c r="A409"/>
  <c r="AC408"/>
  <c r="R408"/>
  <c r="P408"/>
  <c r="O408"/>
  <c r="N408"/>
  <c r="K408"/>
  <c r="H408"/>
  <c r="G408"/>
  <c r="F408"/>
  <c r="E408"/>
  <c r="D408"/>
  <c r="A408"/>
  <c r="AC407"/>
  <c r="R407"/>
  <c r="P407"/>
  <c r="O407"/>
  <c r="N407"/>
  <c r="K407"/>
  <c r="H407"/>
  <c r="G407"/>
  <c r="F407"/>
  <c r="E407"/>
  <c r="D407"/>
  <c r="A407"/>
  <c r="AC174"/>
  <c r="R174"/>
  <c r="P174"/>
  <c r="O174"/>
  <c r="N174"/>
  <c r="K174"/>
  <c r="H174"/>
  <c r="G174"/>
  <c r="F174"/>
  <c r="E174"/>
  <c r="D174"/>
  <c r="A174"/>
  <c r="AC406"/>
  <c r="R406"/>
  <c r="P406"/>
  <c r="O406"/>
  <c r="N406"/>
  <c r="K406"/>
  <c r="H406"/>
  <c r="G406"/>
  <c r="F406"/>
  <c r="E406"/>
  <c r="D406"/>
  <c r="A406"/>
  <c r="AC20"/>
  <c r="R20"/>
  <c r="P20"/>
  <c r="O20"/>
  <c r="N20"/>
  <c r="K20"/>
  <c r="H20"/>
  <c r="G20"/>
  <c r="F20"/>
  <c r="E20"/>
  <c r="D20"/>
  <c r="A20"/>
  <c r="AC405"/>
  <c r="R405"/>
  <c r="P405"/>
  <c r="O405"/>
  <c r="N405"/>
  <c r="K405"/>
  <c r="H405"/>
  <c r="G405"/>
  <c r="F405"/>
  <c r="E405"/>
  <c r="D405"/>
  <c r="A405"/>
  <c r="AC404"/>
  <c r="R404"/>
  <c r="P404"/>
  <c r="O404"/>
  <c r="N404"/>
  <c r="K404"/>
  <c r="H404"/>
  <c r="G404"/>
  <c r="F404"/>
  <c r="E404"/>
  <c r="D404"/>
  <c r="A404"/>
  <c r="AC403"/>
  <c r="R403"/>
  <c r="P403"/>
  <c r="O403"/>
  <c r="N403"/>
  <c r="K403"/>
  <c r="H403"/>
  <c r="G403"/>
  <c r="F403"/>
  <c r="E403"/>
  <c r="D403"/>
  <c r="A403"/>
  <c r="AC402"/>
  <c r="R402"/>
  <c r="P402"/>
  <c r="O402"/>
  <c r="N402"/>
  <c r="K402"/>
  <c r="H402"/>
  <c r="G402"/>
  <c r="F402"/>
  <c r="E402"/>
  <c r="D402"/>
  <c r="A402"/>
  <c r="AC159"/>
  <c r="R159"/>
  <c r="P159"/>
  <c r="O159"/>
  <c r="N159"/>
  <c r="K159"/>
  <c r="H159"/>
  <c r="G159"/>
  <c r="F159"/>
  <c r="E159"/>
  <c r="D159"/>
  <c r="A159"/>
  <c r="AC215"/>
  <c r="R215"/>
  <c r="P215"/>
  <c r="O215"/>
  <c r="N215"/>
  <c r="K215"/>
  <c r="H215"/>
  <c r="G215"/>
  <c r="F215"/>
  <c r="E215"/>
  <c r="D215"/>
  <c r="A215"/>
  <c r="AC401"/>
  <c r="R401"/>
  <c r="P401"/>
  <c r="O401"/>
  <c r="N401"/>
  <c r="K401"/>
  <c r="H401"/>
  <c r="G401"/>
  <c r="F401"/>
  <c r="E401"/>
  <c r="D401"/>
  <c r="A401"/>
  <c r="AC31"/>
  <c r="R31"/>
  <c r="P31"/>
  <c r="O31"/>
  <c r="N31"/>
  <c r="K31"/>
  <c r="H31"/>
  <c r="G31"/>
  <c r="F31"/>
  <c r="E31"/>
  <c r="D31"/>
  <c r="A31"/>
  <c r="AC400"/>
  <c r="R400"/>
  <c r="P400"/>
  <c r="O400"/>
  <c r="N400"/>
  <c r="K400"/>
  <c r="H400"/>
  <c r="G400"/>
  <c r="F400"/>
  <c r="E400"/>
  <c r="D400"/>
  <c r="A400"/>
  <c r="AC98"/>
  <c r="R98"/>
  <c r="P98"/>
  <c r="O98"/>
  <c r="N98"/>
  <c r="K98"/>
  <c r="H98"/>
  <c r="G98"/>
  <c r="F98"/>
  <c r="E98"/>
  <c r="D98"/>
  <c r="A98"/>
  <c r="AC399"/>
  <c r="R399"/>
  <c r="P399"/>
  <c r="O399"/>
  <c r="N399"/>
  <c r="K399"/>
  <c r="H399"/>
  <c r="G399"/>
  <c r="F399"/>
  <c r="E399"/>
  <c r="D399"/>
  <c r="A399"/>
  <c r="AC398"/>
  <c r="R398"/>
  <c r="P398"/>
  <c r="O398"/>
  <c r="N398"/>
  <c r="K398"/>
  <c r="H398"/>
  <c r="G398"/>
  <c r="F398"/>
  <c r="E398"/>
  <c r="D398"/>
  <c r="A398"/>
  <c r="AC397"/>
  <c r="R397"/>
  <c r="P397"/>
  <c r="O397"/>
  <c r="N397"/>
  <c r="K397"/>
  <c r="H397"/>
  <c r="G397"/>
  <c r="F397"/>
  <c r="E397"/>
  <c r="D397"/>
  <c r="A397"/>
  <c r="AC396"/>
  <c r="R396"/>
  <c r="P396"/>
  <c r="O396"/>
  <c r="N396"/>
  <c r="K396"/>
  <c r="H396"/>
  <c r="G396"/>
  <c r="F396"/>
  <c r="E396"/>
  <c r="D396"/>
  <c r="A396"/>
  <c r="AC395"/>
  <c r="R395"/>
  <c r="P395"/>
  <c r="O395"/>
  <c r="N395"/>
  <c r="K395"/>
  <c r="H395"/>
  <c r="G395"/>
  <c r="F395"/>
  <c r="E395"/>
  <c r="D395"/>
  <c r="A395"/>
  <c r="AC394"/>
  <c r="R394"/>
  <c r="P394"/>
  <c r="O394"/>
  <c r="N394"/>
  <c r="K394"/>
  <c r="H394"/>
  <c r="G394"/>
  <c r="F394"/>
  <c r="E394"/>
  <c r="D394"/>
  <c r="A394"/>
  <c r="AC393"/>
  <c r="R393"/>
  <c r="P393"/>
  <c r="O393"/>
  <c r="N393"/>
  <c r="K393"/>
  <c r="H393"/>
  <c r="G393"/>
  <c r="F393"/>
  <c r="E393"/>
  <c r="D393"/>
  <c r="A393"/>
  <c r="AC392"/>
  <c r="R392"/>
  <c r="P392"/>
  <c r="O392"/>
  <c r="N392"/>
  <c r="K392"/>
  <c r="H392"/>
  <c r="G392"/>
  <c r="F392"/>
  <c r="E392"/>
  <c r="D392"/>
  <c r="A392"/>
  <c r="AC391"/>
  <c r="R391"/>
  <c r="P391"/>
  <c r="O391"/>
  <c r="N391"/>
  <c r="K391"/>
  <c r="H391"/>
  <c r="G391"/>
  <c r="F391"/>
  <c r="E391"/>
  <c r="D391"/>
  <c r="A391"/>
  <c r="AC390"/>
  <c r="R390"/>
  <c r="P390"/>
  <c r="O390"/>
  <c r="N390"/>
  <c r="K390"/>
  <c r="H390"/>
  <c r="G390"/>
  <c r="F390"/>
  <c r="E390"/>
  <c r="D390"/>
  <c r="A390"/>
  <c r="AC200"/>
  <c r="R200"/>
  <c r="P200"/>
  <c r="O200"/>
  <c r="N200"/>
  <c r="K200"/>
  <c r="H200"/>
  <c r="G200"/>
  <c r="F200"/>
  <c r="E200"/>
  <c r="D200"/>
  <c r="A200"/>
  <c r="AC389"/>
  <c r="R389"/>
  <c r="P389"/>
  <c r="O389"/>
  <c r="N389"/>
  <c r="K389"/>
  <c r="H389"/>
  <c r="G389"/>
  <c r="F389"/>
  <c r="E389"/>
  <c r="D389"/>
  <c r="A389"/>
  <c r="AC388"/>
  <c r="R388"/>
  <c r="P388"/>
  <c r="O388"/>
  <c r="N388"/>
  <c r="K388"/>
  <c r="H388"/>
  <c r="G388"/>
  <c r="F388"/>
  <c r="E388"/>
  <c r="D388"/>
  <c r="A388"/>
  <c r="AC387"/>
  <c r="R387"/>
  <c r="P387"/>
  <c r="O387"/>
  <c r="N387"/>
  <c r="K387"/>
  <c r="H387"/>
  <c r="G387"/>
  <c r="F387"/>
  <c r="E387"/>
  <c r="D387"/>
  <c r="A387"/>
  <c r="AC386"/>
  <c r="R386"/>
  <c r="P386"/>
  <c r="O386"/>
  <c r="N386"/>
  <c r="K386"/>
  <c r="H386"/>
  <c r="G386"/>
  <c r="F386"/>
  <c r="E386"/>
  <c r="D386"/>
  <c r="A386"/>
  <c r="AC385"/>
  <c r="R385"/>
  <c r="P385"/>
  <c r="O385"/>
  <c r="N385"/>
  <c r="K385"/>
  <c r="H385"/>
  <c r="G385"/>
  <c r="F385"/>
  <c r="E385"/>
  <c r="D385"/>
  <c r="A385"/>
  <c r="AC66"/>
  <c r="R66"/>
  <c r="P66"/>
  <c r="O66"/>
  <c r="N66"/>
  <c r="K66"/>
  <c r="H66"/>
  <c r="G66"/>
  <c r="F66"/>
  <c r="E66"/>
  <c r="D66"/>
  <c r="A66"/>
  <c r="AC116"/>
  <c r="R116"/>
  <c r="P116"/>
  <c r="O116"/>
  <c r="N116"/>
  <c r="K116"/>
  <c r="H116"/>
  <c r="G116"/>
  <c r="F116"/>
  <c r="E116"/>
  <c r="D116"/>
  <c r="A116"/>
  <c r="AC96"/>
  <c r="R96"/>
  <c r="P96"/>
  <c r="O96"/>
  <c r="N96"/>
  <c r="K96"/>
  <c r="H96"/>
  <c r="G96"/>
  <c r="F96"/>
  <c r="E96"/>
  <c r="D96"/>
  <c r="A96"/>
  <c r="AC178"/>
  <c r="R178"/>
  <c r="P178"/>
  <c r="O178"/>
  <c r="N178"/>
  <c r="K178"/>
  <c r="H178"/>
  <c r="G178"/>
  <c r="F178"/>
  <c r="E178"/>
  <c r="D178"/>
  <c r="A178"/>
  <c r="AC105"/>
  <c r="R105"/>
  <c r="P105"/>
  <c r="O105"/>
  <c r="N105"/>
  <c r="K105"/>
  <c r="H105"/>
  <c r="G105"/>
  <c r="F105"/>
  <c r="E105"/>
  <c r="D105"/>
  <c r="A105"/>
  <c r="AC161"/>
  <c r="R161"/>
  <c r="P161"/>
  <c r="O161"/>
  <c r="N161"/>
  <c r="K161"/>
  <c r="H161"/>
  <c r="G161"/>
  <c r="F161"/>
  <c r="E161"/>
  <c r="D161"/>
  <c r="A161"/>
  <c r="AC384"/>
  <c r="R384"/>
  <c r="P384"/>
  <c r="O384"/>
  <c r="N384"/>
  <c r="K384"/>
  <c r="H384"/>
  <c r="G384"/>
  <c r="F384"/>
  <c r="E384"/>
  <c r="D384"/>
  <c r="A384"/>
  <c r="AC383"/>
  <c r="R383"/>
  <c r="P383"/>
  <c r="O383"/>
  <c r="N383"/>
  <c r="K383"/>
  <c r="H383"/>
  <c r="G383"/>
  <c r="F383"/>
  <c r="E383"/>
  <c r="D383"/>
  <c r="A383"/>
  <c r="AC72"/>
  <c r="R72"/>
  <c r="P72"/>
  <c r="O72"/>
  <c r="N72"/>
  <c r="K72"/>
  <c r="H72"/>
  <c r="G72"/>
  <c r="F72"/>
  <c r="E72"/>
  <c r="D72"/>
  <c r="A72"/>
  <c r="AC382"/>
  <c r="R382"/>
  <c r="P382"/>
  <c r="O382"/>
  <c r="N382"/>
  <c r="K382"/>
  <c r="H382"/>
  <c r="G382"/>
  <c r="F382"/>
  <c r="E382"/>
  <c r="D382"/>
  <c r="A382"/>
  <c r="AC381"/>
  <c r="R381"/>
  <c r="P381"/>
  <c r="O381"/>
  <c r="N381"/>
  <c r="K381"/>
  <c r="H381"/>
  <c r="G381"/>
  <c r="F381"/>
  <c r="E381"/>
  <c r="D381"/>
  <c r="A381"/>
  <c r="AC380"/>
  <c r="R380"/>
  <c r="P380"/>
  <c r="O380"/>
  <c r="N380"/>
  <c r="K380"/>
  <c r="H380"/>
  <c r="G380"/>
  <c r="F380"/>
  <c r="E380"/>
  <c r="D380"/>
  <c r="A380"/>
  <c r="AC379"/>
  <c r="R379"/>
  <c r="P379"/>
  <c r="O379"/>
  <c r="N379"/>
  <c r="K379"/>
  <c r="H379"/>
  <c r="G379"/>
  <c r="F379"/>
  <c r="E379"/>
  <c r="D379"/>
  <c r="A379"/>
  <c r="AC378"/>
  <c r="R378"/>
  <c r="P378"/>
  <c r="O378"/>
  <c r="N378"/>
  <c r="K378"/>
  <c r="H378"/>
  <c r="G378"/>
  <c r="F378"/>
  <c r="E378"/>
  <c r="D378"/>
  <c r="A378"/>
  <c r="AC377"/>
  <c r="R377"/>
  <c r="P377"/>
  <c r="O377"/>
  <c r="N377"/>
  <c r="K377"/>
  <c r="H377"/>
  <c r="G377"/>
  <c r="F377"/>
  <c r="E377"/>
  <c r="D377"/>
  <c r="A377"/>
  <c r="AC376"/>
  <c r="R376"/>
  <c r="P376"/>
  <c r="O376"/>
  <c r="N376"/>
  <c r="K376"/>
  <c r="H376"/>
  <c r="G376"/>
  <c r="F376"/>
  <c r="E376"/>
  <c r="D376"/>
  <c r="A376"/>
  <c r="AC375"/>
  <c r="R375"/>
  <c r="P375"/>
  <c r="O375"/>
  <c r="N375"/>
  <c r="K375"/>
  <c r="H375"/>
  <c r="G375"/>
  <c r="F375"/>
  <c r="E375"/>
  <c r="D375"/>
  <c r="A375"/>
  <c r="AC374"/>
  <c r="R374"/>
  <c r="P374"/>
  <c r="O374"/>
  <c r="N374"/>
  <c r="K374"/>
  <c r="H374"/>
  <c r="G374"/>
  <c r="F374"/>
  <c r="E374"/>
  <c r="D374"/>
  <c r="A374"/>
  <c r="AC373"/>
  <c r="R373"/>
  <c r="P373"/>
  <c r="O373"/>
  <c r="N373"/>
  <c r="K373"/>
  <c r="H373"/>
  <c r="G373"/>
  <c r="F373"/>
  <c r="E373"/>
  <c r="D373"/>
  <c r="A373"/>
  <c r="AC91"/>
  <c r="R91"/>
  <c r="P91"/>
  <c r="O91"/>
  <c r="N91"/>
  <c r="K91"/>
  <c r="H91"/>
  <c r="G91"/>
  <c r="F91"/>
  <c r="E91"/>
  <c r="D91"/>
  <c r="A91"/>
  <c r="AC372"/>
  <c r="R372"/>
  <c r="P372"/>
  <c r="O372"/>
  <c r="N372"/>
  <c r="K372"/>
  <c r="H372"/>
  <c r="G372"/>
  <c r="F372"/>
  <c r="E372"/>
  <c r="D372"/>
  <c r="A372"/>
  <c r="AC371"/>
  <c r="R371"/>
  <c r="P371"/>
  <c r="O371"/>
  <c r="N371"/>
  <c r="K371"/>
  <c r="H371"/>
  <c r="G371"/>
  <c r="F371"/>
  <c r="E371"/>
  <c r="D371"/>
  <c r="A371"/>
  <c r="AC370"/>
  <c r="R370"/>
  <c r="P370"/>
  <c r="O370"/>
  <c r="N370"/>
  <c r="K370"/>
  <c r="H370"/>
  <c r="G370"/>
  <c r="F370"/>
  <c r="E370"/>
  <c r="D370"/>
  <c r="A370"/>
  <c r="AC369"/>
  <c r="R369"/>
  <c r="P369"/>
  <c r="O369"/>
  <c r="N369"/>
  <c r="K369"/>
  <c r="H369"/>
  <c r="G369"/>
  <c r="F369"/>
  <c r="E369"/>
  <c r="D369"/>
  <c r="A369"/>
  <c r="AC368"/>
  <c r="R368"/>
  <c r="P368"/>
  <c r="O368"/>
  <c r="N368"/>
  <c r="K368"/>
  <c r="H368"/>
  <c r="G368"/>
  <c r="F368"/>
  <c r="E368"/>
  <c r="D368"/>
  <c r="A368"/>
  <c r="AC367"/>
  <c r="R367"/>
  <c r="P367"/>
  <c r="O367"/>
  <c r="N367"/>
  <c r="K367"/>
  <c r="H367"/>
  <c r="G367"/>
  <c r="F367"/>
  <c r="E367"/>
  <c r="D367"/>
  <c r="A367"/>
  <c r="AC366"/>
  <c r="R366"/>
  <c r="P366"/>
  <c r="O366"/>
  <c r="N366"/>
  <c r="K366"/>
  <c r="H366"/>
  <c r="G366"/>
  <c r="F366"/>
  <c r="E366"/>
  <c r="D366"/>
  <c r="A366"/>
  <c r="AC365"/>
  <c r="R365"/>
  <c r="P365"/>
  <c r="O365"/>
  <c r="N365"/>
  <c r="K365"/>
  <c r="H365"/>
  <c r="G365"/>
  <c r="F365"/>
  <c r="E365"/>
  <c r="D365"/>
  <c r="A365"/>
  <c r="AC364"/>
  <c r="R364"/>
  <c r="P364"/>
  <c r="O364"/>
  <c r="N364"/>
  <c r="K364"/>
  <c r="H364"/>
  <c r="G364"/>
  <c r="F364"/>
  <c r="E364"/>
  <c r="D364"/>
  <c r="A364"/>
  <c r="AC363"/>
  <c r="R363"/>
  <c r="P363"/>
  <c r="O363"/>
  <c r="N363"/>
  <c r="K363"/>
  <c r="H363"/>
  <c r="G363"/>
  <c r="F363"/>
  <c r="E363"/>
  <c r="D363"/>
  <c r="A363"/>
  <c r="AC362"/>
  <c r="R362"/>
  <c r="P362"/>
  <c r="O362"/>
  <c r="N362"/>
  <c r="K362"/>
  <c r="H362"/>
  <c r="G362"/>
  <c r="F362"/>
  <c r="E362"/>
  <c r="D362"/>
  <c r="A362"/>
  <c r="AC361"/>
  <c r="R361"/>
  <c r="P361"/>
  <c r="O361"/>
  <c r="N361"/>
  <c r="K361"/>
  <c r="H361"/>
  <c r="G361"/>
  <c r="F361"/>
  <c r="E361"/>
  <c r="D361"/>
  <c r="A361"/>
  <c r="AC360"/>
  <c r="R360"/>
  <c r="P360"/>
  <c r="O360"/>
  <c r="N360"/>
  <c r="K360"/>
  <c r="H360"/>
  <c r="G360"/>
  <c r="F360"/>
  <c r="E360"/>
  <c r="D360"/>
  <c r="A360"/>
  <c r="AC359"/>
  <c r="R359"/>
  <c r="P359"/>
  <c r="O359"/>
  <c r="N359"/>
  <c r="K359"/>
  <c r="H359"/>
  <c r="G359"/>
  <c r="F359"/>
  <c r="E359"/>
  <c r="D359"/>
  <c r="A359"/>
  <c r="AC358"/>
  <c r="R358"/>
  <c r="P358"/>
  <c r="O358"/>
  <c r="N358"/>
  <c r="K358"/>
  <c r="H358"/>
  <c r="G358"/>
  <c r="F358"/>
  <c r="E358"/>
  <c r="D358"/>
  <c r="A358"/>
  <c r="AC29"/>
  <c r="R29"/>
  <c r="P29"/>
  <c r="O29"/>
  <c r="N29"/>
  <c r="K29"/>
  <c r="H29"/>
  <c r="G29"/>
  <c r="F29"/>
  <c r="E29"/>
  <c r="D29"/>
  <c r="A29"/>
  <c r="AC357"/>
  <c r="R357"/>
  <c r="P357"/>
  <c r="O357"/>
  <c r="N357"/>
  <c r="K357"/>
  <c r="H357"/>
  <c r="G357"/>
  <c r="F357"/>
  <c r="E357"/>
  <c r="D357"/>
  <c r="A357"/>
  <c r="AC356"/>
  <c r="R356"/>
  <c r="P356"/>
  <c r="O356"/>
  <c r="N356"/>
  <c r="K356"/>
  <c r="H356"/>
  <c r="G356"/>
  <c r="F356"/>
  <c r="E356"/>
  <c r="D356"/>
  <c r="A356"/>
  <c r="AC355"/>
  <c r="R355"/>
  <c r="P355"/>
  <c r="O355"/>
  <c r="N355"/>
  <c r="K355"/>
  <c r="H355"/>
  <c r="G355"/>
  <c r="F355"/>
  <c r="E355"/>
  <c r="D355"/>
  <c r="A355"/>
  <c r="AC354"/>
  <c r="R354"/>
  <c r="P354"/>
  <c r="O354"/>
  <c r="N354"/>
  <c r="K354"/>
  <c r="H354"/>
  <c r="G354"/>
  <c r="F354"/>
  <c r="E354"/>
  <c r="D354"/>
  <c r="A354"/>
  <c r="AC119"/>
  <c r="R119"/>
  <c r="P119"/>
  <c r="O119"/>
  <c r="N119"/>
  <c r="K119"/>
  <c r="H119"/>
  <c r="G119"/>
  <c r="F119"/>
  <c r="E119"/>
  <c r="D119"/>
  <c r="A119"/>
  <c r="AC353"/>
  <c r="R353"/>
  <c r="P353"/>
  <c r="O353"/>
  <c r="N353"/>
  <c r="K353"/>
  <c r="H353"/>
  <c r="G353"/>
  <c r="F353"/>
  <c r="E353"/>
  <c r="D353"/>
  <c r="A353"/>
  <c r="AC352"/>
  <c r="R352"/>
  <c r="P352"/>
  <c r="O352"/>
  <c r="N352"/>
  <c r="K352"/>
  <c r="H352"/>
  <c r="G352"/>
  <c r="F352"/>
  <c r="E352"/>
  <c r="D352"/>
  <c r="A352"/>
  <c r="AC351"/>
  <c r="R351"/>
  <c r="P351"/>
  <c r="O351"/>
  <c r="N351"/>
  <c r="K351"/>
  <c r="H351"/>
  <c r="G351"/>
  <c r="F351"/>
  <c r="E351"/>
  <c r="D351"/>
  <c r="A351"/>
  <c r="AC350"/>
  <c r="R350"/>
  <c r="P350"/>
  <c r="O350"/>
  <c r="N350"/>
  <c r="K350"/>
  <c r="H350"/>
  <c r="G350"/>
  <c r="F350"/>
  <c r="E350"/>
  <c r="D350"/>
  <c r="A350"/>
  <c r="AC349"/>
  <c r="R349"/>
  <c r="P349"/>
  <c r="O349"/>
  <c r="N349"/>
  <c r="K349"/>
  <c r="H349"/>
  <c r="G349"/>
  <c r="F349"/>
  <c r="E349"/>
  <c r="D349"/>
  <c r="A349"/>
  <c r="AC348"/>
  <c r="R348"/>
  <c r="P348"/>
  <c r="O348"/>
  <c r="N348"/>
  <c r="K348"/>
  <c r="H348"/>
  <c r="G348"/>
  <c r="F348"/>
  <c r="E348"/>
  <c r="D348"/>
  <c r="A348"/>
  <c r="AC347"/>
  <c r="R347"/>
  <c r="P347"/>
  <c r="O347"/>
  <c r="N347"/>
  <c r="K347"/>
  <c r="H347"/>
  <c r="G347"/>
  <c r="F347"/>
  <c r="E347"/>
  <c r="D347"/>
  <c r="A347"/>
  <c r="AC346"/>
  <c r="R346"/>
  <c r="P346"/>
  <c r="O346"/>
  <c r="N346"/>
  <c r="K346"/>
  <c r="H346"/>
  <c r="G346"/>
  <c r="F346"/>
  <c r="E346"/>
  <c r="D346"/>
  <c r="A346"/>
  <c r="AC345"/>
  <c r="R345"/>
  <c r="P345"/>
  <c r="O345"/>
  <c r="N345"/>
  <c r="K345"/>
  <c r="H345"/>
  <c r="G345"/>
  <c r="F345"/>
  <c r="E345"/>
  <c r="D345"/>
  <c r="A345"/>
  <c r="AC344"/>
  <c r="R344"/>
  <c r="P344"/>
  <c r="O344"/>
  <c r="N344"/>
  <c r="K344"/>
  <c r="H344"/>
  <c r="G344"/>
  <c r="F344"/>
  <c r="E344"/>
  <c r="D344"/>
  <c r="A344"/>
  <c r="AC343"/>
  <c r="R343"/>
  <c r="P343"/>
  <c r="O343"/>
  <c r="N343"/>
  <c r="K343"/>
  <c r="H343"/>
  <c r="G343"/>
  <c r="F343"/>
  <c r="E343"/>
  <c r="D343"/>
  <c r="A343"/>
  <c r="AC342"/>
  <c r="R342"/>
  <c r="P342"/>
  <c r="O342"/>
  <c r="N342"/>
  <c r="K342"/>
  <c r="H342"/>
  <c r="G342"/>
  <c r="F342"/>
  <c r="E342"/>
  <c r="D342"/>
  <c r="A342"/>
  <c r="AC341"/>
  <c r="R341"/>
  <c r="P341"/>
  <c r="O341"/>
  <c r="N341"/>
  <c r="K341"/>
  <c r="H341"/>
  <c r="G341"/>
  <c r="F341"/>
  <c r="E341"/>
  <c r="D341"/>
  <c r="A341"/>
  <c r="AC340"/>
  <c r="R340"/>
  <c r="P340"/>
  <c r="O340"/>
  <c r="N340"/>
  <c r="K340"/>
  <c r="H340"/>
  <c r="G340"/>
  <c r="F340"/>
  <c r="E340"/>
  <c r="D340"/>
  <c r="A340"/>
  <c r="AC80"/>
  <c r="R80"/>
  <c r="P80"/>
  <c r="O80"/>
  <c r="N80"/>
  <c r="K80"/>
  <c r="H80"/>
  <c r="G80"/>
  <c r="F80"/>
  <c r="E80"/>
  <c r="D80"/>
  <c r="A80"/>
  <c r="AC339"/>
  <c r="R339"/>
  <c r="P339"/>
  <c r="O339"/>
  <c r="N339"/>
  <c r="K339"/>
  <c r="H339"/>
  <c r="G339"/>
  <c r="F339"/>
  <c r="E339"/>
  <c r="D339"/>
  <c r="A339"/>
  <c r="AC100"/>
  <c r="R100"/>
  <c r="P100"/>
  <c r="O100"/>
  <c r="N100"/>
  <c r="K100"/>
  <c r="H100"/>
  <c r="G100"/>
  <c r="F100"/>
  <c r="E100"/>
  <c r="D100"/>
  <c r="A100"/>
  <c r="AC171"/>
  <c r="R171"/>
  <c r="P171"/>
  <c r="O171"/>
  <c r="N171"/>
  <c r="K171"/>
  <c r="H171"/>
  <c r="G171"/>
  <c r="F171"/>
  <c r="E171"/>
  <c r="D171"/>
  <c r="A171"/>
  <c r="AC338"/>
  <c r="R338"/>
  <c r="P338"/>
  <c r="O338"/>
  <c r="N338"/>
  <c r="K338"/>
  <c r="H338"/>
  <c r="G338"/>
  <c r="F338"/>
  <c r="E338"/>
  <c r="D338"/>
  <c r="A338"/>
  <c r="AC103"/>
  <c r="R103"/>
  <c r="P103"/>
  <c r="O103"/>
  <c r="N103"/>
  <c r="K103"/>
  <c r="H103"/>
  <c r="G103"/>
  <c r="F103"/>
  <c r="E103"/>
  <c r="D103"/>
  <c r="A103"/>
  <c r="AC337"/>
  <c r="R337"/>
  <c r="P337"/>
  <c r="O337"/>
  <c r="N337"/>
  <c r="K337"/>
  <c r="H337"/>
  <c r="G337"/>
  <c r="F337"/>
  <c r="E337"/>
  <c r="D337"/>
  <c r="A337"/>
  <c r="AC336"/>
  <c r="R336"/>
  <c r="P336"/>
  <c r="O336"/>
  <c r="N336"/>
  <c r="K336"/>
  <c r="H336"/>
  <c r="G336"/>
  <c r="F336"/>
  <c r="E336"/>
  <c r="D336"/>
  <c r="A336"/>
  <c r="AC335"/>
  <c r="R335"/>
  <c r="P335"/>
  <c r="O335"/>
  <c r="N335"/>
  <c r="K335"/>
  <c r="H335"/>
  <c r="G335"/>
  <c r="F335"/>
  <c r="E335"/>
  <c r="D335"/>
  <c r="A335"/>
  <c r="AC79"/>
  <c r="R79"/>
  <c r="P79"/>
  <c r="O79"/>
  <c r="N79"/>
  <c r="K79"/>
  <c r="H79"/>
  <c r="G79"/>
  <c r="F79"/>
  <c r="E79"/>
  <c r="D79"/>
  <c r="A79"/>
  <c r="AC136"/>
  <c r="R136"/>
  <c r="P136"/>
  <c r="O136"/>
  <c r="N136"/>
  <c r="K136"/>
  <c r="H136"/>
  <c r="G136"/>
  <c r="F136"/>
  <c r="E136"/>
  <c r="D136"/>
  <c r="A136"/>
  <c r="AC334"/>
  <c r="R334"/>
  <c r="P334"/>
  <c r="O334"/>
  <c r="N334"/>
  <c r="K334"/>
  <c r="H334"/>
  <c r="G334"/>
  <c r="F334"/>
  <c r="E334"/>
  <c r="D334"/>
  <c r="A334"/>
  <c r="AC141"/>
  <c r="R141"/>
  <c r="P141"/>
  <c r="O141"/>
  <c r="N141"/>
  <c r="K141"/>
  <c r="H141"/>
  <c r="G141"/>
  <c r="F141"/>
  <c r="E141"/>
  <c r="D141"/>
  <c r="A141"/>
  <c r="AC140"/>
  <c r="R140"/>
  <c r="P140"/>
  <c r="O140"/>
  <c r="N140"/>
  <c r="K140"/>
  <c r="H140"/>
  <c r="G140"/>
  <c r="F140"/>
  <c r="E140"/>
  <c r="D140"/>
  <c r="A140"/>
  <c r="AC150"/>
  <c r="R150"/>
  <c r="P150"/>
  <c r="O150"/>
  <c r="N150"/>
  <c r="K150"/>
  <c r="H150"/>
  <c r="G150"/>
  <c r="F150"/>
  <c r="E150"/>
  <c r="D150"/>
  <c r="A150"/>
  <c r="AC230"/>
  <c r="R230"/>
  <c r="P230"/>
  <c r="O230"/>
  <c r="N230"/>
  <c r="K230"/>
  <c r="H230"/>
  <c r="G230"/>
  <c r="F230"/>
  <c r="E230"/>
  <c r="D230"/>
  <c r="A230"/>
  <c r="AC333"/>
  <c r="R333"/>
  <c r="P333"/>
  <c r="O333"/>
  <c r="N333"/>
  <c r="K333"/>
  <c r="H333"/>
  <c r="G333"/>
  <c r="F333"/>
  <c r="E333"/>
  <c r="D333"/>
  <c r="A333"/>
  <c r="AC147"/>
  <c r="R147"/>
  <c r="P147"/>
  <c r="O147"/>
  <c r="N147"/>
  <c r="K147"/>
  <c r="H147"/>
  <c r="G147"/>
  <c r="F147"/>
  <c r="E147"/>
  <c r="D147"/>
  <c r="A147"/>
  <c r="AC122"/>
  <c r="R122"/>
  <c r="P122"/>
  <c r="O122"/>
  <c r="N122"/>
  <c r="K122"/>
  <c r="H122"/>
  <c r="G122"/>
  <c r="F122"/>
  <c r="E122"/>
  <c r="D122"/>
  <c r="A122"/>
  <c r="AC121"/>
  <c r="R121"/>
  <c r="P121"/>
  <c r="O121"/>
  <c r="N121"/>
  <c r="K121"/>
  <c r="H121"/>
  <c r="G121"/>
  <c r="F121"/>
  <c r="E121"/>
  <c r="D121"/>
  <c r="A121"/>
  <c r="AC86"/>
  <c r="R86"/>
  <c r="P86"/>
  <c r="O86"/>
  <c r="N86"/>
  <c r="K86"/>
  <c r="H86"/>
  <c r="G86"/>
  <c r="F86"/>
  <c r="E86"/>
  <c r="D86"/>
  <c r="A86"/>
  <c r="AC110"/>
  <c r="R110"/>
  <c r="P110"/>
  <c r="O110"/>
  <c r="N110"/>
  <c r="K110"/>
  <c r="H110"/>
  <c r="G110"/>
  <c r="F110"/>
  <c r="E110"/>
  <c r="D110"/>
  <c r="A110"/>
  <c r="AC332"/>
  <c r="R332"/>
  <c r="P332"/>
  <c r="O332"/>
  <c r="N332"/>
  <c r="K332"/>
  <c r="H332"/>
  <c r="G332"/>
  <c r="F332"/>
  <c r="E332"/>
  <c r="D332"/>
  <c r="A332"/>
  <c r="AC331"/>
  <c r="R331"/>
  <c r="P331"/>
  <c r="O331"/>
  <c r="N331"/>
  <c r="K331"/>
  <c r="H331"/>
  <c r="G331"/>
  <c r="F331"/>
  <c r="E331"/>
  <c r="D331"/>
  <c r="A331"/>
  <c r="AC330"/>
  <c r="R330"/>
  <c r="P330"/>
  <c r="O330"/>
  <c r="N330"/>
  <c r="K330"/>
  <c r="H330"/>
  <c r="G330"/>
  <c r="F330"/>
  <c r="E330"/>
  <c r="D330"/>
  <c r="A330"/>
  <c r="AC63"/>
  <c r="R63"/>
  <c r="P63"/>
  <c r="O63"/>
  <c r="N63"/>
  <c r="K63"/>
  <c r="H63"/>
  <c r="G63"/>
  <c r="F63"/>
  <c r="E63"/>
  <c r="D63"/>
  <c r="A63"/>
  <c r="AC180"/>
  <c r="R180"/>
  <c r="P180"/>
  <c r="O180"/>
  <c r="N180"/>
  <c r="K180"/>
  <c r="H180"/>
  <c r="G180"/>
  <c r="F180"/>
  <c r="E180"/>
  <c r="D180"/>
  <c r="A180"/>
  <c r="AC329"/>
  <c r="R329"/>
  <c r="P329"/>
  <c r="O329"/>
  <c r="N329"/>
  <c r="K329"/>
  <c r="H329"/>
  <c r="G329"/>
  <c r="F329"/>
  <c r="E329"/>
  <c r="D329"/>
  <c r="A329"/>
  <c r="AC328"/>
  <c r="R328"/>
  <c r="P328"/>
  <c r="O328"/>
  <c r="N328"/>
  <c r="K328"/>
  <c r="H328"/>
  <c r="G328"/>
  <c r="F328"/>
  <c r="E328"/>
  <c r="D328"/>
  <c r="A328"/>
  <c r="AC148"/>
  <c r="R148"/>
  <c r="P148"/>
  <c r="O148"/>
  <c r="N148"/>
  <c r="K148"/>
  <c r="H148"/>
  <c r="G148"/>
  <c r="F148"/>
  <c r="E148"/>
  <c r="D148"/>
  <c r="A148"/>
  <c r="AC74"/>
  <c r="R74"/>
  <c r="P74"/>
  <c r="O74"/>
  <c r="N74"/>
  <c r="K74"/>
  <c r="H74"/>
  <c r="G74"/>
  <c r="F74"/>
  <c r="E74"/>
  <c r="D74"/>
  <c r="A74"/>
  <c r="AC160"/>
  <c r="R160"/>
  <c r="P160"/>
  <c r="O160"/>
  <c r="N160"/>
  <c r="K160"/>
  <c r="H160"/>
  <c r="G160"/>
  <c r="F160"/>
  <c r="E160"/>
  <c r="D160"/>
  <c r="A160"/>
  <c r="AC327"/>
  <c r="R327"/>
  <c r="P327"/>
  <c r="O327"/>
  <c r="N327"/>
  <c r="K327"/>
  <c r="H327"/>
  <c r="G327"/>
  <c r="F327"/>
  <c r="E327"/>
  <c r="D327"/>
  <c r="A327"/>
  <c r="AC326"/>
  <c r="R326"/>
  <c r="P326"/>
  <c r="O326"/>
  <c r="N326"/>
  <c r="K326"/>
  <c r="H326"/>
  <c r="G326"/>
  <c r="F326"/>
  <c r="E326"/>
  <c r="D326"/>
  <c r="A326"/>
  <c r="AC325"/>
  <c r="R325"/>
  <c r="P325"/>
  <c r="O325"/>
  <c r="N325"/>
  <c r="K325"/>
  <c r="H325"/>
  <c r="G325"/>
  <c r="F325"/>
  <c r="E325"/>
  <c r="D325"/>
  <c r="A325"/>
  <c r="AC324"/>
  <c r="R324"/>
  <c r="P324"/>
  <c r="O324"/>
  <c r="N324"/>
  <c r="K324"/>
  <c r="H324"/>
  <c r="G324"/>
  <c r="F324"/>
  <c r="E324"/>
  <c r="D324"/>
  <c r="A324"/>
  <c r="AC32"/>
  <c r="R32"/>
  <c r="P32"/>
  <c r="O32"/>
  <c r="N32"/>
  <c r="K32"/>
  <c r="H32"/>
  <c r="G32"/>
  <c r="F32"/>
  <c r="E32"/>
  <c r="D32"/>
  <c r="A32"/>
  <c r="AC323"/>
  <c r="R323"/>
  <c r="P323"/>
  <c r="O323"/>
  <c r="N323"/>
  <c r="K323"/>
  <c r="H323"/>
  <c r="G323"/>
  <c r="F323"/>
  <c r="E323"/>
  <c r="D323"/>
  <c r="A323"/>
  <c r="AC322"/>
  <c r="R322"/>
  <c r="P322"/>
  <c r="O322"/>
  <c r="N322"/>
  <c r="K322"/>
  <c r="H322"/>
  <c r="G322"/>
  <c r="F322"/>
  <c r="E322"/>
  <c r="D322"/>
  <c r="A322"/>
  <c r="AC321"/>
  <c r="R321"/>
  <c r="P321"/>
  <c r="O321"/>
  <c r="N321"/>
  <c r="K321"/>
  <c r="H321"/>
  <c r="G321"/>
  <c r="F321"/>
  <c r="E321"/>
  <c r="D321"/>
  <c r="A321"/>
  <c r="AC34"/>
  <c r="R34"/>
  <c r="P34"/>
  <c r="O34"/>
  <c r="N34"/>
  <c r="K34"/>
  <c r="H34"/>
  <c r="G34"/>
  <c r="F34"/>
  <c r="E34"/>
  <c r="D34"/>
  <c r="A34"/>
  <c r="AC320"/>
  <c r="R320"/>
  <c r="P320"/>
  <c r="O320"/>
  <c r="N320"/>
  <c r="K320"/>
  <c r="H320"/>
  <c r="G320"/>
  <c r="F320"/>
  <c r="E320"/>
  <c r="D320"/>
  <c r="A320"/>
  <c r="AC319"/>
  <c r="R319"/>
  <c r="P319"/>
  <c r="O319"/>
  <c r="N319"/>
  <c r="K319"/>
  <c r="H319"/>
  <c r="G319"/>
  <c r="F319"/>
  <c r="E319"/>
  <c r="D319"/>
  <c r="A319"/>
  <c r="AC318"/>
  <c r="R318"/>
  <c r="P318"/>
  <c r="O318"/>
  <c r="N318"/>
  <c r="K318"/>
  <c r="H318"/>
  <c r="G318"/>
  <c r="F318"/>
  <c r="E318"/>
  <c r="D318"/>
  <c r="A318"/>
  <c r="AC317"/>
  <c r="R317"/>
  <c r="P317"/>
  <c r="O317"/>
  <c r="N317"/>
  <c r="K317"/>
  <c r="H317"/>
  <c r="G317"/>
  <c r="F317"/>
  <c r="E317"/>
  <c r="D317"/>
  <c r="A317"/>
  <c r="AC38"/>
  <c r="R38"/>
  <c r="P38"/>
  <c r="O38"/>
  <c r="N38"/>
  <c r="K38"/>
  <c r="H38"/>
  <c r="G38"/>
  <c r="F38"/>
  <c r="E38"/>
  <c r="D38"/>
  <c r="A38"/>
  <c r="AC49"/>
  <c r="R49"/>
  <c r="P49"/>
  <c r="O49"/>
  <c r="N49"/>
  <c r="K49"/>
  <c r="H49"/>
  <c r="G49"/>
  <c r="F49"/>
  <c r="E49"/>
  <c r="D49"/>
  <c r="A49"/>
  <c r="AC188"/>
  <c r="R188"/>
  <c r="P188"/>
  <c r="O188"/>
  <c r="N188"/>
  <c r="K188"/>
  <c r="H188"/>
  <c r="G188"/>
  <c r="F188"/>
  <c r="E188"/>
  <c r="D188"/>
  <c r="A188"/>
  <c r="AC52"/>
  <c r="R52"/>
  <c r="P52"/>
  <c r="O52"/>
  <c r="N52"/>
  <c r="K52"/>
  <c r="H52"/>
  <c r="G52"/>
  <c r="F52"/>
  <c r="E52"/>
  <c r="D52"/>
  <c r="A52"/>
  <c r="AC316"/>
  <c r="R316"/>
  <c r="P316"/>
  <c r="O316"/>
  <c r="N316"/>
  <c r="K316"/>
  <c r="H316"/>
  <c r="G316"/>
  <c r="F316"/>
  <c r="E316"/>
  <c r="D316"/>
  <c r="A316"/>
  <c r="AC315"/>
  <c r="R315"/>
  <c r="P315"/>
  <c r="O315"/>
  <c r="N315"/>
  <c r="K315"/>
  <c r="H315"/>
  <c r="G315"/>
  <c r="F315"/>
  <c r="E315"/>
  <c r="D315"/>
  <c r="A315"/>
  <c r="AC314"/>
  <c r="R314"/>
  <c r="P314"/>
  <c r="O314"/>
  <c r="N314"/>
  <c r="K314"/>
  <c r="H314"/>
  <c r="G314"/>
  <c r="F314"/>
  <c r="E314"/>
  <c r="D314"/>
  <c r="A314"/>
  <c r="AC23"/>
  <c r="R23"/>
  <c r="P23"/>
  <c r="O23"/>
  <c r="N23"/>
  <c r="K23"/>
  <c r="H23"/>
  <c r="G23"/>
  <c r="F23"/>
  <c r="E23"/>
  <c r="D23"/>
  <c r="A23"/>
  <c r="AC313"/>
  <c r="R313"/>
  <c r="P313"/>
  <c r="O313"/>
  <c r="N313"/>
  <c r="K313"/>
  <c r="H313"/>
  <c r="G313"/>
  <c r="F313"/>
  <c r="E313"/>
  <c r="D313"/>
  <c r="A313"/>
  <c r="AC312"/>
  <c r="R312"/>
  <c r="P312"/>
  <c r="O312"/>
  <c r="N312"/>
  <c r="K312"/>
  <c r="H312"/>
  <c r="G312"/>
  <c r="F312"/>
  <c r="E312"/>
  <c r="D312"/>
  <c r="A312"/>
  <c r="AC311"/>
  <c r="R311"/>
  <c r="P311"/>
  <c r="O311"/>
  <c r="N311"/>
  <c r="K311"/>
  <c r="H311"/>
  <c r="G311"/>
  <c r="F311"/>
  <c r="E311"/>
  <c r="D311"/>
  <c r="A311"/>
  <c r="AC152"/>
  <c r="R152"/>
  <c r="P152"/>
  <c r="O152"/>
  <c r="N152"/>
  <c r="K152"/>
  <c r="H152"/>
  <c r="G152"/>
  <c r="F152"/>
  <c r="E152"/>
  <c r="D152"/>
  <c r="A152"/>
  <c r="AC310"/>
  <c r="R310"/>
  <c r="P310"/>
  <c r="O310"/>
  <c r="N310"/>
  <c r="K310"/>
  <c r="H310"/>
  <c r="G310"/>
  <c r="F310"/>
  <c r="E310"/>
  <c r="D310"/>
  <c r="A310"/>
  <c r="AC309"/>
  <c r="R309"/>
  <c r="P309"/>
  <c r="O309"/>
  <c r="N309"/>
  <c r="K309"/>
  <c r="H309"/>
  <c r="G309"/>
  <c r="F309"/>
  <c r="E309"/>
  <c r="D309"/>
  <c r="A309"/>
  <c r="AC308"/>
  <c r="R308"/>
  <c r="P308"/>
  <c r="O308"/>
  <c r="N308"/>
  <c r="K308"/>
  <c r="H308"/>
  <c r="G308"/>
  <c r="F308"/>
  <c r="E308"/>
  <c r="D308"/>
  <c r="A308"/>
  <c r="AC36"/>
  <c r="R36"/>
  <c r="P36"/>
  <c r="O36"/>
  <c r="N36"/>
  <c r="K36"/>
  <c r="H36"/>
  <c r="G36"/>
  <c r="F36"/>
  <c r="E36"/>
  <c r="D36"/>
  <c r="A36"/>
  <c r="AC181"/>
  <c r="R181"/>
  <c r="P181"/>
  <c r="O181"/>
  <c r="N181"/>
  <c r="K181"/>
  <c r="H181"/>
  <c r="G181"/>
  <c r="F181"/>
  <c r="E181"/>
  <c r="D181"/>
  <c r="A181"/>
  <c r="AC307"/>
  <c r="R307"/>
  <c r="P307"/>
  <c r="O307"/>
  <c r="N307"/>
  <c r="K307"/>
  <c r="H307"/>
  <c r="G307"/>
  <c r="F307"/>
  <c r="E307"/>
  <c r="D307"/>
  <c r="A307"/>
  <c r="AC60"/>
  <c r="R60"/>
  <c r="P60"/>
  <c r="O60"/>
  <c r="N60"/>
  <c r="K60"/>
  <c r="H60"/>
  <c r="G60"/>
  <c r="F60"/>
  <c r="E60"/>
  <c r="D60"/>
  <c r="A60"/>
  <c r="AC306"/>
  <c r="R306"/>
  <c r="P306"/>
  <c r="O306"/>
  <c r="N306"/>
  <c r="K306"/>
  <c r="H306"/>
  <c r="G306"/>
  <c r="F306"/>
  <c r="E306"/>
  <c r="D306"/>
  <c r="A306"/>
  <c r="AC305"/>
  <c r="R305"/>
  <c r="P305"/>
  <c r="O305"/>
  <c r="N305"/>
  <c r="K305"/>
  <c r="H305"/>
  <c r="G305"/>
  <c r="F305"/>
  <c r="E305"/>
  <c r="D305"/>
  <c r="A305"/>
  <c r="AC304"/>
  <c r="R304"/>
  <c r="P304"/>
  <c r="O304"/>
  <c r="N304"/>
  <c r="K304"/>
  <c r="H304"/>
  <c r="G304"/>
  <c r="F304"/>
  <c r="E304"/>
  <c r="D304"/>
  <c r="A304"/>
  <c r="AC303"/>
  <c r="R303"/>
  <c r="P303"/>
  <c r="O303"/>
  <c r="N303"/>
  <c r="K303"/>
  <c r="H303"/>
  <c r="G303"/>
  <c r="F303"/>
  <c r="E303"/>
  <c r="D303"/>
  <c r="A303"/>
  <c r="AC302"/>
  <c r="R302"/>
  <c r="P302"/>
  <c r="O302"/>
  <c r="N302"/>
  <c r="K302"/>
  <c r="H302"/>
  <c r="G302"/>
  <c r="F302"/>
  <c r="E302"/>
  <c r="D302"/>
  <c r="A302"/>
  <c r="AC75"/>
  <c r="R75"/>
  <c r="P75"/>
  <c r="O75"/>
  <c r="N75"/>
  <c r="K75"/>
  <c r="H75"/>
  <c r="G75"/>
  <c r="F75"/>
  <c r="E75"/>
  <c r="D75"/>
  <c r="A75"/>
  <c r="AC170"/>
  <c r="R170"/>
  <c r="P170"/>
  <c r="O170"/>
  <c r="N170"/>
  <c r="K170"/>
  <c r="H170"/>
  <c r="G170"/>
  <c r="F170"/>
  <c r="E170"/>
  <c r="D170"/>
  <c r="A170"/>
  <c r="AC301"/>
  <c r="R301"/>
  <c r="P301"/>
  <c r="O301"/>
  <c r="N301"/>
  <c r="K301"/>
  <c r="H301"/>
  <c r="G301"/>
  <c r="F301"/>
  <c r="E301"/>
  <c r="D301"/>
  <c r="A301"/>
  <c r="AC300"/>
  <c r="R300"/>
  <c r="P300"/>
  <c r="O300"/>
  <c r="N300"/>
  <c r="K300"/>
  <c r="H300"/>
  <c r="G300"/>
  <c r="F300"/>
  <c r="E300"/>
  <c r="D300"/>
  <c r="A300"/>
  <c r="AC299"/>
  <c r="R299"/>
  <c r="P299"/>
  <c r="O299"/>
  <c r="N299"/>
  <c r="K299"/>
  <c r="H299"/>
  <c r="G299"/>
  <c r="F299"/>
  <c r="E299"/>
  <c r="D299"/>
  <c r="A299"/>
  <c r="AC192"/>
  <c r="R192"/>
  <c r="P192"/>
  <c r="O192"/>
  <c r="N192"/>
  <c r="K192"/>
  <c r="H192"/>
  <c r="G192"/>
  <c r="F192"/>
  <c r="E192"/>
  <c r="D192"/>
  <c r="A192"/>
  <c r="AC73"/>
  <c r="R73"/>
  <c r="P73"/>
  <c r="O73"/>
  <c r="N73"/>
  <c r="K73"/>
  <c r="H73"/>
  <c r="G73"/>
  <c r="F73"/>
  <c r="E73"/>
  <c r="D73"/>
  <c r="A73"/>
  <c r="AC298"/>
  <c r="R298"/>
  <c r="P298"/>
  <c r="O298"/>
  <c r="N298"/>
  <c r="K298"/>
  <c r="H298"/>
  <c r="G298"/>
  <c r="F298"/>
  <c r="E298"/>
  <c r="D298"/>
  <c r="A298"/>
  <c r="AC297"/>
  <c r="R297"/>
  <c r="P297"/>
  <c r="O297"/>
  <c r="N297"/>
  <c r="K297"/>
  <c r="H297"/>
  <c r="G297"/>
  <c r="F297"/>
  <c r="E297"/>
  <c r="D297"/>
  <c r="A297"/>
  <c r="AC240"/>
  <c r="R240"/>
  <c r="P240"/>
  <c r="O240"/>
  <c r="N240"/>
  <c r="K240"/>
  <c r="H240"/>
  <c r="G240"/>
  <c r="F240"/>
  <c r="E240"/>
  <c r="D240"/>
  <c r="A240"/>
  <c r="AC296"/>
  <c r="R296"/>
  <c r="P296"/>
  <c r="O296"/>
  <c r="N296"/>
  <c r="K296"/>
  <c r="H296"/>
  <c r="G296"/>
  <c r="F296"/>
  <c r="E296"/>
  <c r="D296"/>
  <c r="A296"/>
  <c r="AC295"/>
  <c r="R295"/>
  <c r="P295"/>
  <c r="O295"/>
  <c r="N295"/>
  <c r="K295"/>
  <c r="H295"/>
  <c r="G295"/>
  <c r="F295"/>
  <c r="E295"/>
  <c r="D295"/>
  <c r="A295"/>
  <c r="AC294"/>
  <c r="R294"/>
  <c r="P294"/>
  <c r="O294"/>
  <c r="N294"/>
  <c r="K294"/>
  <c r="H294"/>
  <c r="G294"/>
  <c r="F294"/>
  <c r="E294"/>
  <c r="D294"/>
  <c r="A294"/>
  <c r="AC293"/>
  <c r="R293"/>
  <c r="P293"/>
  <c r="O293"/>
  <c r="N293"/>
  <c r="K293"/>
  <c r="H293"/>
  <c r="G293"/>
  <c r="F293"/>
  <c r="E293"/>
  <c r="D293"/>
  <c r="A293"/>
  <c r="AC292"/>
  <c r="R292"/>
  <c r="P292"/>
  <c r="O292"/>
  <c r="N292"/>
  <c r="K292"/>
  <c r="H292"/>
  <c r="G292"/>
  <c r="F292"/>
  <c r="E292"/>
  <c r="D292"/>
  <c r="A292"/>
  <c r="AC291"/>
  <c r="R291"/>
  <c r="P291"/>
  <c r="O291"/>
  <c r="N291"/>
  <c r="K291"/>
  <c r="H291"/>
  <c r="G291"/>
  <c r="F291"/>
  <c r="E291"/>
  <c r="D291"/>
  <c r="A291"/>
  <c r="AC290"/>
  <c r="R290"/>
  <c r="P290"/>
  <c r="O290"/>
  <c r="N290"/>
  <c r="K290"/>
  <c r="H290"/>
  <c r="G290"/>
  <c r="F290"/>
  <c r="E290"/>
  <c r="D290"/>
  <c r="A290"/>
  <c r="AC289"/>
  <c r="R289"/>
  <c r="P289"/>
  <c r="O289"/>
  <c r="N289"/>
  <c r="K289"/>
  <c r="H289"/>
  <c r="G289"/>
  <c r="F289"/>
  <c r="E289"/>
  <c r="D289"/>
  <c r="A289"/>
  <c r="AC288"/>
  <c r="R288"/>
  <c r="P288"/>
  <c r="O288"/>
  <c r="N288"/>
  <c r="K288"/>
  <c r="H288"/>
  <c r="G288"/>
  <c r="F288"/>
  <c r="E288"/>
  <c r="D288"/>
  <c r="A288"/>
  <c r="AC42"/>
  <c r="R42"/>
  <c r="P42"/>
  <c r="O42"/>
  <c r="N42"/>
  <c r="K42"/>
  <c r="H42"/>
  <c r="G42"/>
  <c r="F42"/>
  <c r="E42"/>
  <c r="D42"/>
  <c r="A42"/>
  <c r="AC16"/>
  <c r="R16"/>
  <c r="P16"/>
  <c r="O16"/>
  <c r="N16"/>
  <c r="K16"/>
  <c r="H16"/>
  <c r="G16"/>
  <c r="F16"/>
  <c r="E16"/>
  <c r="D16"/>
  <c r="A16"/>
  <c r="AC70"/>
  <c r="R70"/>
  <c r="P70"/>
  <c r="O70"/>
  <c r="N70"/>
  <c r="K70"/>
  <c r="H70"/>
  <c r="G70"/>
  <c r="F70"/>
  <c r="E70"/>
  <c r="D70"/>
  <c r="A70"/>
  <c r="AC287"/>
  <c r="R287"/>
  <c r="P287"/>
  <c r="O287"/>
  <c r="N287"/>
  <c r="K287"/>
  <c r="H287"/>
  <c r="G287"/>
  <c r="F287"/>
  <c r="E287"/>
  <c r="D287"/>
  <c r="A287"/>
  <c r="AC286"/>
  <c r="R286"/>
  <c r="P286"/>
  <c r="O286"/>
  <c r="N286"/>
  <c r="K286"/>
  <c r="H286"/>
  <c r="G286"/>
  <c r="F286"/>
  <c r="E286"/>
  <c r="D286"/>
  <c r="A286"/>
  <c r="AC285"/>
  <c r="R285"/>
  <c r="P285"/>
  <c r="O285"/>
  <c r="N285"/>
  <c r="K285"/>
  <c r="H285"/>
  <c r="G285"/>
  <c r="F285"/>
  <c r="E285"/>
  <c r="D285"/>
  <c r="A285"/>
  <c r="AC113"/>
  <c r="R113"/>
  <c r="P113"/>
  <c r="O113"/>
  <c r="N113"/>
  <c r="K113"/>
  <c r="H113"/>
  <c r="G113"/>
  <c r="F113"/>
  <c r="E113"/>
  <c r="D113"/>
  <c r="A113"/>
  <c r="AC284"/>
  <c r="R284"/>
  <c r="P284"/>
  <c r="O284"/>
  <c r="N284"/>
  <c r="K284"/>
  <c r="H284"/>
  <c r="G284"/>
  <c r="F284"/>
  <c r="E284"/>
  <c r="D284"/>
  <c r="A284"/>
  <c r="AC283"/>
  <c r="R283"/>
  <c r="P283"/>
  <c r="O283"/>
  <c r="N283"/>
  <c r="K283"/>
  <c r="H283"/>
  <c r="G283"/>
  <c r="F283"/>
  <c r="E283"/>
  <c r="D283"/>
  <c r="A283"/>
  <c r="AC282"/>
  <c r="R282"/>
  <c r="P282"/>
  <c r="O282"/>
  <c r="N282"/>
  <c r="K282"/>
  <c r="H282"/>
  <c r="G282"/>
  <c r="F282"/>
  <c r="E282"/>
  <c r="D282"/>
  <c r="A282"/>
  <c r="AC281"/>
  <c r="R281"/>
  <c r="P281"/>
  <c r="O281"/>
  <c r="N281"/>
  <c r="K281"/>
  <c r="H281"/>
  <c r="G281"/>
  <c r="F281"/>
  <c r="E281"/>
  <c r="D281"/>
  <c r="A281"/>
  <c r="AC280"/>
  <c r="R280"/>
  <c r="P280"/>
  <c r="O280"/>
  <c r="N280"/>
  <c r="K280"/>
  <c r="H280"/>
  <c r="G280"/>
  <c r="F280"/>
  <c r="E280"/>
  <c r="D280"/>
  <c r="A280"/>
  <c r="AC279"/>
  <c r="R279"/>
  <c r="P279"/>
  <c r="O279"/>
  <c r="N279"/>
  <c r="K279"/>
  <c r="H279"/>
  <c r="G279"/>
  <c r="F279"/>
  <c r="E279"/>
  <c r="D279"/>
  <c r="A279"/>
  <c r="AC278"/>
  <c r="R278"/>
  <c r="P278"/>
  <c r="O278"/>
  <c r="N278"/>
  <c r="K278"/>
  <c r="H278"/>
  <c r="G278"/>
  <c r="F278"/>
  <c r="E278"/>
  <c r="D278"/>
  <c r="A278"/>
  <c r="AC94"/>
  <c r="R94"/>
  <c r="P94"/>
  <c r="O94"/>
  <c r="N94"/>
  <c r="K94"/>
  <c r="H94"/>
  <c r="G94"/>
  <c r="F94"/>
  <c r="E94"/>
  <c r="D94"/>
  <c r="A94"/>
  <c r="AC196"/>
  <c r="R196"/>
  <c r="P196"/>
  <c r="O196"/>
  <c r="N196"/>
  <c r="K196"/>
  <c r="H196"/>
  <c r="G196"/>
  <c r="F196"/>
  <c r="E196"/>
  <c r="D196"/>
  <c r="A196"/>
  <c r="AC277"/>
  <c r="R277"/>
  <c r="P277"/>
  <c r="O277"/>
  <c r="N277"/>
  <c r="K277"/>
  <c r="H277"/>
  <c r="G277"/>
  <c r="F277"/>
  <c r="E277"/>
  <c r="D277"/>
  <c r="A277"/>
  <c r="AC276"/>
  <c r="R276"/>
  <c r="P276"/>
  <c r="O276"/>
  <c r="N276"/>
  <c r="K276"/>
  <c r="H276"/>
  <c r="G276"/>
  <c r="F276"/>
  <c r="E276"/>
  <c r="D276"/>
  <c r="A276"/>
  <c r="AC71"/>
  <c r="R71"/>
  <c r="P71"/>
  <c r="O71"/>
  <c r="N71"/>
  <c r="K71"/>
  <c r="H71"/>
  <c r="G71"/>
  <c r="F71"/>
  <c r="E71"/>
  <c r="D71"/>
  <c r="A71"/>
  <c r="AC275"/>
  <c r="R275"/>
  <c r="P275"/>
  <c r="O275"/>
  <c r="N275"/>
  <c r="K275"/>
  <c r="H275"/>
  <c r="G275"/>
  <c r="F275"/>
  <c r="E275"/>
  <c r="D275"/>
  <c r="A275"/>
  <c r="AC274"/>
  <c r="R274"/>
  <c r="P274"/>
  <c r="O274"/>
  <c r="N274"/>
  <c r="K274"/>
  <c r="H274"/>
  <c r="G274"/>
  <c r="F274"/>
  <c r="E274"/>
  <c r="D274"/>
  <c r="A274"/>
  <c r="AC273"/>
  <c r="R273"/>
  <c r="P273"/>
  <c r="O273"/>
  <c r="N273"/>
  <c r="K273"/>
  <c r="H273"/>
  <c r="G273"/>
  <c r="F273"/>
  <c r="E273"/>
  <c r="D273"/>
  <c r="A273"/>
  <c r="AC272"/>
  <c r="R272"/>
  <c r="P272"/>
  <c r="O272"/>
  <c r="N272"/>
  <c r="K272"/>
  <c r="H272"/>
  <c r="G272"/>
  <c r="F272"/>
  <c r="E272"/>
  <c r="D272"/>
  <c r="A272"/>
  <c r="AC271"/>
  <c r="R271"/>
  <c r="P271"/>
  <c r="O271"/>
  <c r="N271"/>
  <c r="K271"/>
  <c r="H271"/>
  <c r="G271"/>
  <c r="F271"/>
  <c r="E271"/>
  <c r="D271"/>
  <c r="A271"/>
  <c r="AC162"/>
  <c r="R162"/>
  <c r="P162"/>
  <c r="O162"/>
  <c r="N162"/>
  <c r="K162"/>
  <c r="H162"/>
  <c r="G162"/>
  <c r="F162"/>
  <c r="E162"/>
  <c r="D162"/>
  <c r="A162"/>
  <c r="AC270"/>
  <c r="R270"/>
  <c r="P270"/>
  <c r="O270"/>
  <c r="N270"/>
  <c r="K270"/>
  <c r="H270"/>
  <c r="G270"/>
  <c r="F270"/>
  <c r="E270"/>
  <c r="D270"/>
  <c r="A270"/>
  <c r="AC269"/>
  <c r="R269"/>
  <c r="P269"/>
  <c r="O269"/>
  <c r="N269"/>
  <c r="K269"/>
  <c r="H269"/>
  <c r="G269"/>
  <c r="F269"/>
  <c r="E269"/>
  <c r="D269"/>
  <c r="A269"/>
  <c r="AC268"/>
  <c r="R268"/>
  <c r="P268"/>
  <c r="O268"/>
  <c r="N268"/>
  <c r="K268"/>
  <c r="H268"/>
  <c r="G268"/>
  <c r="F268"/>
  <c r="E268"/>
  <c r="D268"/>
  <c r="A268"/>
  <c r="AC267"/>
  <c r="R267"/>
  <c r="P267"/>
  <c r="O267"/>
  <c r="N267"/>
  <c r="K267"/>
  <c r="H267"/>
  <c r="G267"/>
  <c r="F267"/>
  <c r="E267"/>
  <c r="D267"/>
  <c r="A267"/>
  <c r="AC247"/>
  <c r="R247"/>
  <c r="P247"/>
  <c r="O247"/>
  <c r="N247"/>
  <c r="K247"/>
  <c r="H247"/>
  <c r="G247"/>
  <c r="F247"/>
  <c r="E247"/>
  <c r="D247"/>
  <c r="A247"/>
  <c r="AC266"/>
  <c r="R266"/>
  <c r="P266"/>
  <c r="O266"/>
  <c r="N266"/>
  <c r="K266"/>
  <c r="H266"/>
  <c r="G266"/>
  <c r="F266"/>
  <c r="E266"/>
  <c r="D266"/>
  <c r="A266"/>
  <c r="AC265"/>
  <c r="R265"/>
  <c r="P265"/>
  <c r="O265"/>
  <c r="N265"/>
  <c r="K265"/>
  <c r="H265"/>
  <c r="G265"/>
  <c r="F265"/>
  <c r="E265"/>
  <c r="D265"/>
  <c r="A265"/>
  <c r="AC248"/>
  <c r="R248"/>
  <c r="P248"/>
  <c r="O248"/>
  <c r="N248"/>
  <c r="K248"/>
  <c r="H248"/>
  <c r="G248"/>
  <c r="F248"/>
  <c r="E248"/>
  <c r="D248"/>
  <c r="A248"/>
  <c r="AC264"/>
  <c r="R264"/>
  <c r="P264"/>
  <c r="O264"/>
  <c r="N264"/>
  <c r="K264"/>
  <c r="H264"/>
  <c r="G264"/>
  <c r="F264"/>
  <c r="E264"/>
  <c r="D264"/>
  <c r="A264"/>
  <c r="AC263"/>
  <c r="R263"/>
  <c r="P263"/>
  <c r="O263"/>
  <c r="N263"/>
  <c r="K263"/>
  <c r="H263"/>
  <c r="G263"/>
  <c r="F263"/>
  <c r="E263"/>
  <c r="D263"/>
  <c r="A263"/>
  <c r="AC262"/>
  <c r="R262"/>
  <c r="P262"/>
  <c r="O262"/>
  <c r="N262"/>
  <c r="K262"/>
  <c r="H262"/>
  <c r="G262"/>
  <c r="F262"/>
  <c r="E262"/>
  <c r="D262"/>
  <c r="A262"/>
  <c r="AC261"/>
  <c r="R261"/>
  <c r="P261"/>
  <c r="O261"/>
  <c r="N261"/>
  <c r="K261"/>
  <c r="H261"/>
  <c r="G261"/>
  <c r="F261"/>
  <c r="E261"/>
  <c r="D261"/>
  <c r="A261"/>
  <c r="AC260"/>
  <c r="R260"/>
  <c r="P260"/>
  <c r="O260"/>
  <c r="N260"/>
  <c r="K260"/>
  <c r="H260"/>
  <c r="G260"/>
  <c r="F260"/>
  <c r="E260"/>
  <c r="D260"/>
  <c r="A260"/>
  <c r="AC259"/>
  <c r="R259"/>
  <c r="P259"/>
  <c r="O259"/>
  <c r="N259"/>
  <c r="K259"/>
  <c r="H259"/>
  <c r="G259"/>
  <c r="F259"/>
  <c r="E259"/>
  <c r="D259"/>
  <c r="A259"/>
  <c r="AC258"/>
  <c r="R258"/>
  <c r="P258"/>
  <c r="O258"/>
  <c r="N258"/>
  <c r="K258"/>
  <c r="H258"/>
  <c r="G258"/>
  <c r="F258"/>
  <c r="E258"/>
  <c r="D258"/>
  <c r="A258"/>
  <c r="AC257"/>
  <c r="R257"/>
  <c r="P257"/>
  <c r="O257"/>
  <c r="N257"/>
  <c r="K257"/>
  <c r="H257"/>
  <c r="G257"/>
  <c r="F257"/>
  <c r="E257"/>
  <c r="D257"/>
  <c r="A257"/>
  <c r="AC256"/>
  <c r="R256"/>
  <c r="P256"/>
  <c r="O256"/>
  <c r="N256"/>
  <c r="K256"/>
  <c r="H256"/>
  <c r="G256"/>
  <c r="F256"/>
  <c r="E256"/>
  <c r="D256"/>
  <c r="A256"/>
  <c r="AC255"/>
  <c r="R255"/>
  <c r="P255"/>
  <c r="O255"/>
  <c r="N255"/>
  <c r="K255"/>
  <c r="H255"/>
  <c r="G255"/>
  <c r="F255"/>
  <c r="E255"/>
  <c r="D255"/>
  <c r="A255"/>
  <c r="AC254"/>
  <c r="R254"/>
  <c r="P254"/>
  <c r="O254"/>
  <c r="N254"/>
  <c r="K254"/>
  <c r="H254"/>
  <c r="G254"/>
  <c r="F254"/>
  <c r="E254"/>
  <c r="D254"/>
  <c r="A254"/>
  <c r="AC253"/>
  <c r="R253"/>
  <c r="P253"/>
  <c r="O253"/>
  <c r="N253"/>
  <c r="K253"/>
  <c r="H253"/>
  <c r="G253"/>
  <c r="F253"/>
  <c r="E253"/>
  <c r="D253"/>
  <c r="A253"/>
  <c r="AC252"/>
  <c r="R252"/>
  <c r="P252"/>
  <c r="O252"/>
  <c r="N252"/>
  <c r="K252"/>
  <c r="H252"/>
  <c r="G252"/>
  <c r="F252"/>
  <c r="E252"/>
  <c r="D252"/>
  <c r="A252"/>
  <c r="AC251"/>
  <c r="R251"/>
  <c r="P251"/>
  <c r="O251"/>
  <c r="N251"/>
  <c r="K251"/>
  <c r="H251"/>
  <c r="G251"/>
  <c r="F251"/>
  <c r="E251"/>
  <c r="D251"/>
  <c r="A251"/>
  <c r="AC250"/>
  <c r="R250"/>
  <c r="P250"/>
  <c r="O250"/>
  <c r="N250"/>
  <c r="K250"/>
  <c r="H250"/>
  <c r="G250"/>
  <c r="F250"/>
  <c r="E250"/>
  <c r="D250"/>
  <c r="A250"/>
  <c r="AC249"/>
  <c r="R249"/>
  <c r="P249"/>
  <c r="O249"/>
  <c r="N249"/>
  <c r="K249"/>
  <c r="H249"/>
  <c r="G249"/>
  <c r="F249"/>
  <c r="E249"/>
  <c r="D249"/>
  <c r="A249"/>
</calcChain>
</file>

<file path=xl/sharedStrings.xml><?xml version="1.0" encoding="utf-8"?>
<sst xmlns="http://schemas.openxmlformats.org/spreadsheetml/2006/main" count="4108" uniqueCount="780">
  <si>
    <t>Report :</t>
    <phoneticPr fontId="1" type="noConversion"/>
  </si>
  <si>
    <t>Report Date：</t>
    <phoneticPr fontId="1" type="noConversion"/>
  </si>
  <si>
    <t>Customer</t>
  </si>
  <si>
    <t>Brand</t>
    <phoneticPr fontId="1" type="noConversion"/>
  </si>
  <si>
    <t>Avail.</t>
  </si>
  <si>
    <t>Ratio</t>
    <phoneticPr fontId="1" type="noConversion"/>
  </si>
  <si>
    <t>FCST M</t>
  </si>
  <si>
    <t>FCST M1</t>
  </si>
  <si>
    <t>FCST M2</t>
  </si>
  <si>
    <t>FCST M3</t>
  </si>
  <si>
    <t>Actual AWU</t>
  </si>
  <si>
    <t>Actual WK</t>
    <phoneticPr fontId="1" type="noConversion"/>
  </si>
  <si>
    <t>FCST WK</t>
    <phoneticPr fontId="1" type="noConversion"/>
  </si>
  <si>
    <t>Status</t>
  </si>
  <si>
    <t>Owner</t>
  </si>
  <si>
    <t>Action</t>
  </si>
  <si>
    <t>Last Action</t>
  </si>
  <si>
    <t>Diret.</t>
    <phoneticPr fontId="1" type="noConversion"/>
  </si>
  <si>
    <t>Item Short Name</t>
    <phoneticPr fontId="1" type="noConversion"/>
  </si>
  <si>
    <t>Backlog</t>
    <phoneticPr fontId="1" type="noConversion"/>
  </si>
  <si>
    <t>Sales</t>
  </si>
  <si>
    <t>Type</t>
    <phoneticPr fontId="1" type="noConversion"/>
  </si>
  <si>
    <t>OH WK</t>
    <phoneticPr fontId="1" type="noConversion"/>
  </si>
  <si>
    <t>Last BL</t>
    <phoneticPr fontId="1" type="noConversion"/>
  </si>
  <si>
    <t>BL &lt;= 9WKs</t>
    <phoneticPr fontId="1" type="noConversion"/>
  </si>
  <si>
    <t>DDR Stock Report</t>
    <phoneticPr fontId="1" type="noConversion"/>
  </si>
  <si>
    <t>Stage</t>
    <phoneticPr fontId="1" type="noConversion"/>
  </si>
  <si>
    <t>FCST AWU</t>
    <phoneticPr fontId="1" type="noConversion"/>
  </si>
  <si>
    <t>OH FCST WK</t>
    <phoneticPr fontId="1" type="noConversion"/>
  </si>
  <si>
    <t>BL WK</t>
  </si>
  <si>
    <t>BL FCST WK</t>
  </si>
  <si>
    <t>Last TTL OH</t>
    <phoneticPr fontId="1" type="noConversion"/>
  </si>
  <si>
    <t>TTL OH</t>
    <phoneticPr fontId="1" type="noConversion"/>
  </si>
  <si>
    <t>On the way</t>
  </si>
  <si>
    <t>DC OH</t>
    <phoneticPr fontId="1" type="noConversion"/>
  </si>
  <si>
    <t>Hub OH</t>
    <phoneticPr fontId="1" type="noConversion"/>
  </si>
  <si>
    <t>Others OH</t>
    <phoneticPr fontId="1" type="noConversion"/>
  </si>
  <si>
    <t>2016/11/28 13:09</t>
  </si>
  <si>
    <t>CM3204A3OG</t>
  </si>
  <si>
    <t>CAPELLA</t>
  </si>
  <si>
    <t/>
  </si>
  <si>
    <t>E</t>
  </si>
  <si>
    <t>1449</t>
  </si>
  <si>
    <t>CM32181A3OP</t>
  </si>
  <si>
    <t>CM3232EA3OG</t>
  </si>
  <si>
    <t>CM3406DS-LF-Z</t>
  </si>
  <si>
    <t>MPS</t>
  </si>
  <si>
    <t>CSR8510A10-ICXR-R</t>
  </si>
  <si>
    <t>CSR</t>
  </si>
  <si>
    <t>CSR8811A12-ICXR-R</t>
  </si>
  <si>
    <t>CSR8811A12-IQQD-R</t>
  </si>
  <si>
    <t>F</t>
  </si>
  <si>
    <t>CSRB5342A11-IQQU-R</t>
  </si>
  <si>
    <t>D2516EC4BXGGB</t>
  </si>
  <si>
    <t>KINGSTON</t>
  </si>
  <si>
    <t>D5128EETBPGGBU</t>
  </si>
  <si>
    <t>EMMC08G-M325-B52</t>
  </si>
  <si>
    <t>EMMC08G-M325-E51U</t>
  </si>
  <si>
    <t>EMMC08G-M325-X01U</t>
  </si>
  <si>
    <t>EMMC08G-S100-R09</t>
  </si>
  <si>
    <t>EMMC08G-T227-A02</t>
  </si>
  <si>
    <t>EMMC16G-M525-X01U-NV1</t>
  </si>
  <si>
    <t>EMMC32G-M525-A51</t>
  </si>
  <si>
    <t>EMMC32G-T527-A01</t>
  </si>
  <si>
    <t>HR1001GS-Z</t>
  </si>
  <si>
    <t>KF-TC04GB</t>
  </si>
  <si>
    <t>KSLCMBL2VA2M2C</t>
  </si>
  <si>
    <t>KVR16LSE11/8</t>
  </si>
  <si>
    <t>KVR16S11S6/2</t>
  </si>
  <si>
    <t>KVR24N17S8/8</t>
  </si>
  <si>
    <t>MP111DS-LF-Z</t>
  </si>
  <si>
    <t>MP1412DH-LF-Z</t>
  </si>
  <si>
    <t>MP1463GD-Z</t>
  </si>
  <si>
    <t>MP1469GJ-Z</t>
  </si>
  <si>
    <t>MP1470GJ-Z</t>
  </si>
  <si>
    <t>MP1470HGJ-Z</t>
  </si>
  <si>
    <t>MP1471AGJ-Z</t>
  </si>
  <si>
    <t>MP1471GJ-Z</t>
  </si>
  <si>
    <t>MP1472GJ-C452-Z</t>
  </si>
  <si>
    <t>MP1472GJ-C501-Z</t>
  </si>
  <si>
    <t>MP1474DJ-LF-Z</t>
  </si>
  <si>
    <t>MP1474SGJ-C659-Z</t>
  </si>
  <si>
    <t>MP1474SGJ-Z</t>
  </si>
  <si>
    <t>MP1475DJ-LF-Z</t>
  </si>
  <si>
    <t>MP1475SGJ-C659-Z</t>
  </si>
  <si>
    <t>MP1475SGJ-Z</t>
  </si>
  <si>
    <t>MP1482DS-C165-LF-Z</t>
  </si>
  <si>
    <t>MP1484EN-C166-LF-Z</t>
  </si>
  <si>
    <t>MP1492DS-LF-Z</t>
  </si>
  <si>
    <t>MP1493DS-LF-Z</t>
  </si>
  <si>
    <t>MP1494DJ-LF-Z</t>
  </si>
  <si>
    <t>MP1494SGJ-Z</t>
  </si>
  <si>
    <t>MP1495DJ-LF-Z</t>
  </si>
  <si>
    <t>MP1495SGJ-Z</t>
  </si>
  <si>
    <t>MP1496DJ-LF-Z</t>
  </si>
  <si>
    <t>MP1497DJ-LF-Z</t>
  </si>
  <si>
    <t>MP1498DJ-LF-Z</t>
  </si>
  <si>
    <t>MP1499GD-Z</t>
  </si>
  <si>
    <t>MP1517DR-LF-Z</t>
  </si>
  <si>
    <t>MP1530DM-LF-Z</t>
  </si>
  <si>
    <t>MP1531DQ-LF-Z</t>
  </si>
  <si>
    <t>MP1540DJ-LF-Z</t>
  </si>
  <si>
    <t>MP1542DK-LF-Z</t>
  </si>
  <si>
    <t>MP1567DK-LF-Z</t>
  </si>
  <si>
    <t>MP1601GTF-Z</t>
  </si>
  <si>
    <t>MP1605GTF-Z</t>
  </si>
  <si>
    <t>MP1650GTF-Z</t>
  </si>
  <si>
    <t>MP1652GTF-Z</t>
  </si>
  <si>
    <t>MP1653GTF-Z</t>
  </si>
  <si>
    <t>MP2002DD-LF-Z</t>
  </si>
  <si>
    <t>MP20045DQ-LF-Z</t>
  </si>
  <si>
    <t>MP20056GG-18-Z</t>
  </si>
  <si>
    <t>MP20056GG-33-Z</t>
  </si>
  <si>
    <t>MP20056GJ-33-Z</t>
  </si>
  <si>
    <t>MP2005DD-C651-LF-Z</t>
  </si>
  <si>
    <t>MP2005DD-LF-Z</t>
  </si>
  <si>
    <t>MP20073DH-LF-Z</t>
  </si>
  <si>
    <t>MP2007DH-LF-Z</t>
  </si>
  <si>
    <t>MP2012DQ-LF-Z</t>
  </si>
  <si>
    <t>MP2104DJ-LF-Z</t>
  </si>
  <si>
    <t>MP2121DQ-LF-Z</t>
  </si>
  <si>
    <t>MP2122GJ-Z</t>
  </si>
  <si>
    <t>MP2128DG-LF-Z</t>
  </si>
  <si>
    <t>MP2130DG-LF-Z</t>
  </si>
  <si>
    <t>MP2139DD-LF-Z</t>
  </si>
  <si>
    <t>MP2143DJ-LF-Z</t>
  </si>
  <si>
    <t>MP2145GD-Z</t>
  </si>
  <si>
    <t>MP2147GD-Z</t>
  </si>
  <si>
    <t>MP2148GQD-Z</t>
  </si>
  <si>
    <t>MP2159AGJ-Z</t>
  </si>
  <si>
    <t>MP2159GJ-Z</t>
  </si>
  <si>
    <t>MP2161GJ-C499-Z</t>
  </si>
  <si>
    <t>MP2161GJ-Z</t>
  </si>
  <si>
    <t>MP2162AGQH-Z</t>
  </si>
  <si>
    <t>MP2188GQA-Z</t>
  </si>
  <si>
    <t>MP2225GJ-Z</t>
  </si>
  <si>
    <t>MP2228GJ-Z</t>
  </si>
  <si>
    <t>MP2229GQ-C633-Z</t>
  </si>
  <si>
    <t>MP2229GQ-Z</t>
  </si>
  <si>
    <t>MP2233DJ-LF-Z</t>
  </si>
  <si>
    <t>MP2234GJ-Z</t>
  </si>
  <si>
    <t>MP2234SGJ-Z</t>
  </si>
  <si>
    <t>MP2235GJ-Z</t>
  </si>
  <si>
    <t>MP2235SGJ-Z</t>
  </si>
  <si>
    <t>MP2249DQT-LF-Z</t>
  </si>
  <si>
    <t>MP2259DJ-LF-Z</t>
  </si>
  <si>
    <t>MP2307DN-LF-Z</t>
  </si>
  <si>
    <t>MP2313GJ-Z</t>
  </si>
  <si>
    <t>MP2314GJ-C717-Z</t>
  </si>
  <si>
    <t>MP2314GJ-Z</t>
  </si>
  <si>
    <t>MP2315GJ-Z</t>
  </si>
  <si>
    <t>MP2325GJ-Z</t>
  </si>
  <si>
    <t>MP2334DD-LF-Z</t>
  </si>
  <si>
    <t>MP24833GN-Z</t>
  </si>
  <si>
    <t>MP2623GR-Z</t>
  </si>
  <si>
    <t>MP28251GD-Z</t>
  </si>
  <si>
    <t>MP28256EL-LF-Z</t>
  </si>
  <si>
    <t>MP28257DD-C439-LF-Z</t>
  </si>
  <si>
    <t>MP28258DD-A-C440-LF-Z</t>
  </si>
  <si>
    <t>MP28258DS-LF-Z</t>
  </si>
  <si>
    <t>MP28259DD-A-C441-LF-Z</t>
  </si>
  <si>
    <t>MP28259DD-LF-Z</t>
  </si>
  <si>
    <t>MP2951GU-0060-Z</t>
  </si>
  <si>
    <t>MP2953BGU-0012-Z</t>
  </si>
  <si>
    <t>MP2953BGU-001B-Z</t>
  </si>
  <si>
    <t>MP2953BGU-0022-Z</t>
  </si>
  <si>
    <t>MP2955AGQK-0015-Z</t>
  </si>
  <si>
    <t>MP2955AGQK-0035-Z</t>
  </si>
  <si>
    <t>MP2955AGQK-0039-Z</t>
  </si>
  <si>
    <t>MP2956AGU-0015-Z</t>
  </si>
  <si>
    <t>MP2958AGU-0015-Z</t>
  </si>
  <si>
    <t>MP2958AGU-0215-Z</t>
  </si>
  <si>
    <t>MP2958GU-0002-Z</t>
  </si>
  <si>
    <t>MP3120DJ-LF-Z</t>
  </si>
  <si>
    <t>MP3202DG-LF-Z</t>
  </si>
  <si>
    <t>MP3212DQ-LF-Z</t>
  </si>
  <si>
    <t>MP3213DH-LF-Z</t>
  </si>
  <si>
    <t>MP3216DJ-LF-Z</t>
  </si>
  <si>
    <t>MP3388DR-C414-LF-Z</t>
  </si>
  <si>
    <t>MP3422GG-Z</t>
  </si>
  <si>
    <t>MP3425DL-LF-Z</t>
  </si>
  <si>
    <t>MP4012DS-C546-LF-Z</t>
  </si>
  <si>
    <t>MP4462DQ-LF-Z</t>
  </si>
  <si>
    <t>MP4470GL-Z</t>
  </si>
  <si>
    <t>MP5016GQH-Z</t>
  </si>
  <si>
    <t>MP5022AGQV-Z</t>
  </si>
  <si>
    <t>MP5022CGQV-Z</t>
  </si>
  <si>
    <t>MP5077GG-Z</t>
  </si>
  <si>
    <t>MP5921GV-Z</t>
  </si>
  <si>
    <t>MP6002DN-LF-Z</t>
  </si>
  <si>
    <t>MP6231DH-LF-Z</t>
  </si>
  <si>
    <t>MP62550DJ-LF-Z</t>
  </si>
  <si>
    <t>MP6400DJ-33-LF-Z</t>
  </si>
  <si>
    <t>MP6922DSE-LF-Z</t>
  </si>
  <si>
    <t>MP8001DS-LF-Z</t>
  </si>
  <si>
    <t>MP86905GR-N-Z</t>
  </si>
  <si>
    <t>MP86905GR-Z</t>
  </si>
  <si>
    <t>MP86934GLT-N-Z</t>
  </si>
  <si>
    <t>MP86945-AGVT-N-Z</t>
  </si>
  <si>
    <t>MP8706EN-LF-Z</t>
  </si>
  <si>
    <t>MP8759GD-Z</t>
  </si>
  <si>
    <t>MP8760GL-Z</t>
  </si>
  <si>
    <t>MP8761GLE-Z</t>
  </si>
  <si>
    <t>MP8762GL-Z</t>
  </si>
  <si>
    <t>MP8762GLE-Z</t>
  </si>
  <si>
    <t>MP8765GQ-Z</t>
  </si>
  <si>
    <t>MP8802DJ-2.5-LF-Z</t>
  </si>
  <si>
    <t>MP8904DD-LF-Z</t>
  </si>
  <si>
    <t>MP9141ES-LF-Z</t>
  </si>
  <si>
    <t>MP9180DG-LF-Z</t>
  </si>
  <si>
    <t>MP9186GQ-Z</t>
  </si>
  <si>
    <t>MP9189GQ-Z</t>
  </si>
  <si>
    <t>MP9361DJ-LF-Z</t>
  </si>
  <si>
    <t>MP9447GL-Z</t>
  </si>
  <si>
    <t>MP95074GG-Z</t>
  </si>
  <si>
    <t>MP9766GQ-Z</t>
  </si>
  <si>
    <t>MPGC01DN-LF-Z</t>
  </si>
  <si>
    <t>MPM3830GQV-Z</t>
  </si>
  <si>
    <t>MPQ4423GQ-AEC1-Z</t>
  </si>
  <si>
    <t>MPQ4569GQ-Z</t>
  </si>
  <si>
    <t>MPQ8623GD-Z</t>
  </si>
  <si>
    <t>MPQ8626GD-Z</t>
  </si>
  <si>
    <t>MPQ8632GL-10-Z</t>
  </si>
  <si>
    <t>MPQ8632GL-12-Z</t>
  </si>
  <si>
    <t>MPQ8632GL-6-Z</t>
  </si>
  <si>
    <t>MPQ8632GL-8-Z</t>
  </si>
  <si>
    <t>MPQ8632GLE-10-Z</t>
  </si>
  <si>
    <t>MPQ8632GLE-6-Z</t>
  </si>
  <si>
    <t>MPQ8632GV-15-Z</t>
  </si>
  <si>
    <t>MPQ8632GVE-15-Z</t>
  </si>
  <si>
    <t>MPQ8633AGL-Z</t>
  </si>
  <si>
    <t>MPQ8633AGLE-Z</t>
  </si>
  <si>
    <t>MPQ8633BGLE-N</t>
  </si>
  <si>
    <t>MPQ8633BGLE-N-Z</t>
  </si>
  <si>
    <t>MPQ8633BGLE-Z</t>
  </si>
  <si>
    <t>MPQ8634AGLE-Z</t>
  </si>
  <si>
    <t>MPQ8634BGLE-Z</t>
  </si>
  <si>
    <t>MPQ86905GR-Z</t>
  </si>
  <si>
    <t>NB634EL-C285-LF-Z</t>
  </si>
  <si>
    <t>NB650AGL-Z</t>
  </si>
  <si>
    <t>NB650GL-Z</t>
  </si>
  <si>
    <t>NB671GQ-C604-Z</t>
  </si>
  <si>
    <t>NB671GQ-Z</t>
  </si>
  <si>
    <t>NB675GL-C604-Z</t>
  </si>
  <si>
    <t>NB681AGD-Z</t>
  </si>
  <si>
    <t>NB685AGQ-Z</t>
  </si>
  <si>
    <t>PAW3220LU-TJDU</t>
  </si>
  <si>
    <t>PIXART</t>
  </si>
  <si>
    <t>PNSR-015-RB3</t>
  </si>
  <si>
    <t>SDC10/8GB</t>
  </si>
  <si>
    <t>SDC10G2/8GB</t>
  </si>
  <si>
    <t>SM2280S3G2/120G</t>
  </si>
  <si>
    <t>U2WH004GTBC150-681</t>
  </si>
  <si>
    <t>PHISON</t>
  </si>
  <si>
    <t>200001-PL09</t>
  </si>
  <si>
    <t>MICRO CRYSTAL</t>
  </si>
  <si>
    <t>200006-PG14</t>
  </si>
  <si>
    <t>200041-MG03</t>
  </si>
  <si>
    <t>200409-MG03</t>
  </si>
  <si>
    <t>200417-MG01</t>
  </si>
  <si>
    <t>200458-PG14</t>
  </si>
  <si>
    <t>201345-PG14</t>
  </si>
  <si>
    <t>201410-MC03</t>
  </si>
  <si>
    <t>201494-MC03</t>
  </si>
  <si>
    <t>AS44CE377CAEFR2</t>
  </si>
  <si>
    <t>ALI</t>
  </si>
  <si>
    <t>BC417143B-GIQN-E4</t>
  </si>
  <si>
    <t>GSD4E-9333-TR</t>
  </si>
  <si>
    <t>12-22/BHR6C-A01/2C</t>
  </si>
  <si>
    <t>EVERLIGHT</t>
  </si>
  <si>
    <t>16-213/R6C-AQ2R2B/3T</t>
  </si>
  <si>
    <t>19-213A/T1D-CP2Q2HY/3T(FTK)</t>
  </si>
  <si>
    <t>19-223/S2T1D-C30/2T(WSN)</t>
  </si>
  <si>
    <t>209-3SURSUBW/S530-A3-A6/R2</t>
  </si>
  <si>
    <t>62-123SUN2C/F105125VMN6RALS8BT</t>
  </si>
  <si>
    <t>62-123TAUN3W/F115135VM5R9LPBFT</t>
  </si>
  <si>
    <t>ACS8520BT</t>
  </si>
  <si>
    <t>SEMTECH</t>
  </si>
  <si>
    <t>ALS-PDIC17-77C/TR8</t>
  </si>
  <si>
    <t>AO3400</t>
  </si>
  <si>
    <t>AOS</t>
  </si>
  <si>
    <t>AO3400A</t>
  </si>
  <si>
    <t>AO3401</t>
  </si>
  <si>
    <t>AO3401A</t>
  </si>
  <si>
    <t>AO3401L</t>
  </si>
  <si>
    <t>AO3402</t>
  </si>
  <si>
    <t>AO3404</t>
  </si>
  <si>
    <t>AO3404A</t>
  </si>
  <si>
    <t>AO3406</t>
  </si>
  <si>
    <t>AO3406L</t>
  </si>
  <si>
    <t>AO3407A</t>
  </si>
  <si>
    <t>AO3409</t>
  </si>
  <si>
    <t>AO3409L</t>
  </si>
  <si>
    <t>AO3413</t>
  </si>
  <si>
    <t>AO3414</t>
  </si>
  <si>
    <t>AO3414L</t>
  </si>
  <si>
    <t>AO3415</t>
  </si>
  <si>
    <t>AO3415A</t>
  </si>
  <si>
    <t>AO3415AL</t>
  </si>
  <si>
    <t>AO3415L</t>
  </si>
  <si>
    <t>AO3416</t>
  </si>
  <si>
    <t>AO3416L</t>
  </si>
  <si>
    <t>AO3418</t>
  </si>
  <si>
    <t>AO3418L</t>
  </si>
  <si>
    <t>AO3419</t>
  </si>
  <si>
    <t>AO3419L</t>
  </si>
  <si>
    <t>AO3420L</t>
  </si>
  <si>
    <t>AO3423</t>
  </si>
  <si>
    <t>AO3434A</t>
  </si>
  <si>
    <t>AO3442</t>
  </si>
  <si>
    <t>AO3460</t>
  </si>
  <si>
    <t>AO4306</t>
  </si>
  <si>
    <t>AO4335</t>
  </si>
  <si>
    <t>AO4404B</t>
  </si>
  <si>
    <t>AO4406AL</t>
  </si>
  <si>
    <t>AO4407</t>
  </si>
  <si>
    <t>AO4407A</t>
  </si>
  <si>
    <t>AO4413</t>
  </si>
  <si>
    <t>AO4419</t>
  </si>
  <si>
    <t>AO4421</t>
  </si>
  <si>
    <t>AO4435</t>
  </si>
  <si>
    <t>AO4435L</t>
  </si>
  <si>
    <t>AO4446</t>
  </si>
  <si>
    <t>AO4447A</t>
  </si>
  <si>
    <t>AO4449</t>
  </si>
  <si>
    <t>AO4453</t>
  </si>
  <si>
    <t>AO4484</t>
  </si>
  <si>
    <t>AO4494</t>
  </si>
  <si>
    <t>AO4494L</t>
  </si>
  <si>
    <t>AO4566</t>
  </si>
  <si>
    <t>AO4620</t>
  </si>
  <si>
    <t>AO4622</t>
  </si>
  <si>
    <t>AO4629</t>
  </si>
  <si>
    <t>AO4801</t>
  </si>
  <si>
    <t>AO4812</t>
  </si>
  <si>
    <t>AO4821</t>
  </si>
  <si>
    <t>AO4832</t>
  </si>
  <si>
    <t>AO4838</t>
  </si>
  <si>
    <t>AO4842</t>
  </si>
  <si>
    <t>AO4854</t>
  </si>
  <si>
    <t>AO4892</t>
  </si>
  <si>
    <t>AO4952</t>
  </si>
  <si>
    <t>AO5401EL</t>
  </si>
  <si>
    <t>AO5804E</t>
  </si>
  <si>
    <t>AO6010D03</t>
  </si>
  <si>
    <t>AO6034N04</t>
  </si>
  <si>
    <t>AO6050N03</t>
  </si>
  <si>
    <t>AO6400L</t>
  </si>
  <si>
    <t>AO6402A</t>
  </si>
  <si>
    <t>AO6402AL</t>
  </si>
  <si>
    <t>AO6405</t>
  </si>
  <si>
    <t>AO6409A</t>
  </si>
  <si>
    <t>AO6415L</t>
  </si>
  <si>
    <t>AO6424</t>
  </si>
  <si>
    <t>AO6601</t>
  </si>
  <si>
    <t>AO6601L</t>
  </si>
  <si>
    <t>AO6604</t>
  </si>
  <si>
    <t>AO6604L</t>
  </si>
  <si>
    <t>AO6800L</t>
  </si>
  <si>
    <t>AO7405</t>
  </si>
  <si>
    <t>AO7413</t>
  </si>
  <si>
    <t>AO7800</t>
  </si>
  <si>
    <t>AO9926B</t>
  </si>
  <si>
    <t>AOB2500L</t>
  </si>
  <si>
    <t>AOB298L</t>
  </si>
  <si>
    <t>AOD2910</t>
  </si>
  <si>
    <t>AOD2910E</t>
  </si>
  <si>
    <t>AOD409</t>
  </si>
  <si>
    <t>AOD4132</t>
  </si>
  <si>
    <t>AOD413A</t>
  </si>
  <si>
    <t>AOD4144</t>
  </si>
  <si>
    <t>AOD4158</t>
  </si>
  <si>
    <t>AOD417</t>
  </si>
  <si>
    <t>AOD4184A</t>
  </si>
  <si>
    <t>AOD4185</t>
  </si>
  <si>
    <t>AOD4186</t>
  </si>
  <si>
    <t>AOD423</t>
  </si>
  <si>
    <t>AOD442</t>
  </si>
  <si>
    <t>AOD444</t>
  </si>
  <si>
    <t>AOD452AL</t>
  </si>
  <si>
    <t>AOD454A</t>
  </si>
  <si>
    <t>AOD472AL</t>
  </si>
  <si>
    <t>AOD482</t>
  </si>
  <si>
    <t>AOD484</t>
  </si>
  <si>
    <t>AOD504</t>
  </si>
  <si>
    <t>AOD516</t>
  </si>
  <si>
    <t>AOD518</t>
  </si>
  <si>
    <t>AOD528</t>
  </si>
  <si>
    <t>AOD558</t>
  </si>
  <si>
    <t>AOD607</t>
  </si>
  <si>
    <t>AOE6930</t>
  </si>
  <si>
    <t>AOE6932</t>
  </si>
  <si>
    <t>AOI206</t>
  </si>
  <si>
    <t>AOI403</t>
  </si>
  <si>
    <t>AOI4184</t>
  </si>
  <si>
    <t>AOL1412</t>
  </si>
  <si>
    <t>AOL1426</t>
  </si>
  <si>
    <t>AON1605</t>
  </si>
  <si>
    <t>AON1606</t>
  </si>
  <si>
    <t>AON2260</t>
  </si>
  <si>
    <t>AON2403</t>
  </si>
  <si>
    <t>AON2410</t>
  </si>
  <si>
    <t>AON2411</t>
  </si>
  <si>
    <t>AON2420</t>
  </si>
  <si>
    <t>AON2801</t>
  </si>
  <si>
    <t>AON2803</t>
  </si>
  <si>
    <t>AON2812</t>
  </si>
  <si>
    <t>AON6242</t>
  </si>
  <si>
    <t>AON6244</t>
  </si>
  <si>
    <t>AON6250</t>
  </si>
  <si>
    <t>AON6284</t>
  </si>
  <si>
    <t>AON6290</t>
  </si>
  <si>
    <t>AON6334FD</t>
  </si>
  <si>
    <t>AON6334FH</t>
  </si>
  <si>
    <t>AON6338FD</t>
  </si>
  <si>
    <t>AON6338FH</t>
  </si>
  <si>
    <t>AON6358</t>
  </si>
  <si>
    <t>AON6360</t>
  </si>
  <si>
    <t>AON6360D</t>
  </si>
  <si>
    <t>AON6362</t>
  </si>
  <si>
    <t>AON6403L</t>
  </si>
  <si>
    <t>AON6405L</t>
  </si>
  <si>
    <t>AON6414AL</t>
  </si>
  <si>
    <t>AON6444L</t>
  </si>
  <si>
    <t>AON6448</t>
  </si>
  <si>
    <t>AON6450</t>
  </si>
  <si>
    <t>AON6454A</t>
  </si>
  <si>
    <t>AON6500</t>
  </si>
  <si>
    <t>AON6504</t>
  </si>
  <si>
    <t>AON6508</t>
  </si>
  <si>
    <t>AON6512</t>
  </si>
  <si>
    <t>AON6516</t>
  </si>
  <si>
    <t>AON6536</t>
  </si>
  <si>
    <t>AON6538</t>
  </si>
  <si>
    <t>AON6546</t>
  </si>
  <si>
    <t>AON6552</t>
  </si>
  <si>
    <t>AON6562</t>
  </si>
  <si>
    <t>AON6578</t>
  </si>
  <si>
    <t>AON6592</t>
  </si>
  <si>
    <t>AON6594</t>
  </si>
  <si>
    <t>AON6594D</t>
  </si>
  <si>
    <t>AON6748</t>
  </si>
  <si>
    <t>AON6752</t>
  </si>
  <si>
    <t>AON6758</t>
  </si>
  <si>
    <t>AON6810</t>
  </si>
  <si>
    <t>AON6812</t>
  </si>
  <si>
    <t>AON6926</t>
  </si>
  <si>
    <t>AON6932A</t>
  </si>
  <si>
    <t>AON6934A</t>
  </si>
  <si>
    <t>AON6946</t>
  </si>
  <si>
    <t>AON6978</t>
  </si>
  <si>
    <t>AON6992</t>
  </si>
  <si>
    <t>AON7242</t>
  </si>
  <si>
    <t>AON7400AL</t>
  </si>
  <si>
    <t>AON7401</t>
  </si>
  <si>
    <t>AON7401L</t>
  </si>
  <si>
    <t>AON7403</t>
  </si>
  <si>
    <t>AON7403L</t>
  </si>
  <si>
    <t>AON7405</t>
  </si>
  <si>
    <t>AON7409</t>
  </si>
  <si>
    <t>AON7410</t>
  </si>
  <si>
    <t>AON7410L</t>
  </si>
  <si>
    <t>AON7421</t>
  </si>
  <si>
    <t>AON7423</t>
  </si>
  <si>
    <t>AON7426</t>
  </si>
  <si>
    <t>AON7446</t>
  </si>
  <si>
    <t>AON7506</t>
  </si>
  <si>
    <t>AON7508</t>
  </si>
  <si>
    <t>AON7522E</t>
  </si>
  <si>
    <t>AON7528</t>
  </si>
  <si>
    <t>AON7534</t>
  </si>
  <si>
    <t>AON7548</t>
  </si>
  <si>
    <t>AON7702A</t>
  </si>
  <si>
    <t>AON7752</t>
  </si>
  <si>
    <t>AON7760</t>
  </si>
  <si>
    <t>AON7934</t>
  </si>
  <si>
    <t>AOT2500L</t>
  </si>
  <si>
    <t>AOZ1022DI</t>
  </si>
  <si>
    <t>AOZ1037PI</t>
  </si>
  <si>
    <t>AOZ1043PI</t>
  </si>
  <si>
    <t>AOZ1044PI</t>
  </si>
  <si>
    <t>AOZ1053PI</t>
  </si>
  <si>
    <t>AOZ1094AIL</t>
  </si>
  <si>
    <t>AOZ1212AI</t>
  </si>
  <si>
    <t>AOZ1231QI-01</t>
  </si>
  <si>
    <t>AOZ1232QI-01</t>
  </si>
  <si>
    <t>AOZ1233QI-01</t>
  </si>
  <si>
    <t>AOZ1236QI-01</t>
  </si>
  <si>
    <t>AOZ1266QI-01</t>
  </si>
  <si>
    <t>AOZ1267QI-01</t>
  </si>
  <si>
    <t>AOZ1269QI-02</t>
  </si>
  <si>
    <t>AOZ1280CI</t>
  </si>
  <si>
    <t>AOZ1320DI-04</t>
  </si>
  <si>
    <t>AOZ1331DI</t>
  </si>
  <si>
    <t>AOZ1766QI-01</t>
  </si>
  <si>
    <t>AOZ2236QI-02</t>
  </si>
  <si>
    <t>AOZ2238QI-01</t>
  </si>
  <si>
    <t>AOZ2238QI-02</t>
  </si>
  <si>
    <t>AOZ2260QI-18</t>
  </si>
  <si>
    <t>AOZ2262QI-18</t>
  </si>
  <si>
    <t>AOZ2738QI-01</t>
  </si>
  <si>
    <t>AOZ6115HI</t>
  </si>
  <si>
    <t>AOZ8001KI</t>
  </si>
  <si>
    <t>AOZ8105CI</t>
  </si>
  <si>
    <t>AOZ8131DI-05L</t>
  </si>
  <si>
    <t>AOZ8212CI-05L</t>
  </si>
  <si>
    <t>AOZ8231ADI-03</t>
  </si>
  <si>
    <t>AOZ8231ADI-05</t>
  </si>
  <si>
    <t>AOZ8231ADI-08</t>
  </si>
  <si>
    <t>AOZ8231ADI-12</t>
  </si>
  <si>
    <t>AOZ8231ADI-24</t>
  </si>
  <si>
    <t>AOZ8235DI-05</t>
  </si>
  <si>
    <t>AOZ8328DI</t>
  </si>
  <si>
    <t>AOZ8802ADI</t>
  </si>
  <si>
    <t>AOZ8804ADI</t>
  </si>
  <si>
    <t>AOZ8808DI-05</t>
  </si>
  <si>
    <t>AOZ8809DI-05</t>
  </si>
  <si>
    <t>AOZ8819DI-05</t>
  </si>
  <si>
    <t>AOZ8851DI-05</t>
  </si>
  <si>
    <t>AOZ8902CIL</t>
  </si>
  <si>
    <t>AOZ8903CI</t>
  </si>
  <si>
    <t>AS1312-BTDM-33</t>
  </si>
  <si>
    <t>AMS</t>
  </si>
  <si>
    <t>AS3668-BWLT</t>
  </si>
  <si>
    <t>AS3722-BCTT-09</t>
  </si>
  <si>
    <t>AS3728-BWLT</t>
  </si>
  <si>
    <t>AS3820E-ZQFT</t>
  </si>
  <si>
    <t>AS3824E-ZQFT</t>
  </si>
  <si>
    <t>ECLAMP2357NQTCT</t>
  </si>
  <si>
    <t>ECLAMP2374K.TCT</t>
  </si>
  <si>
    <t>ECLAMP2398P.TCT</t>
  </si>
  <si>
    <t>ECLAMP2455P.TCT</t>
  </si>
  <si>
    <t>ECLAMP2510K.TCT</t>
  </si>
  <si>
    <t>GN2405AINE3</t>
  </si>
  <si>
    <t>GN25L95-QFN-TR</t>
  </si>
  <si>
    <t>GS1528BCTAE3</t>
  </si>
  <si>
    <t>GS2974ACTE3</t>
  </si>
  <si>
    <t>GS2975ACNE3</t>
  </si>
  <si>
    <t>GS2978-CNE3</t>
  </si>
  <si>
    <t>GS2988-INE3</t>
  </si>
  <si>
    <t>GS9064-CTDE3</t>
  </si>
  <si>
    <t>GS9068ACTAE3</t>
  </si>
  <si>
    <t>HIR26-21B/L423/CT</t>
  </si>
  <si>
    <t>IRM-3638M3</t>
  </si>
  <si>
    <t>IRM-3638N3</t>
  </si>
  <si>
    <t>IRM-3640M2(HFX)</t>
  </si>
  <si>
    <t>IRM-6638N3S45</t>
  </si>
  <si>
    <t>IRM-H638M3/TR2</t>
  </si>
  <si>
    <t>IRM-H838M3/TR2(WSN)</t>
  </si>
  <si>
    <t>IRM-H938M3/TR2</t>
  </si>
  <si>
    <t>IRM-V838M3/TR1</t>
  </si>
  <si>
    <t>LC03-6.TBT</t>
  </si>
  <si>
    <t>P195UT/0904/50-615T/A66AHF/HD</t>
  </si>
  <si>
    <t>PT19-21B/L41/TR8</t>
  </si>
  <si>
    <t>QM2402K</t>
  </si>
  <si>
    <t>UBIQ</t>
  </si>
  <si>
    <t>QM2414K</t>
  </si>
  <si>
    <t>QM2421K</t>
  </si>
  <si>
    <t>QM2502W</t>
  </si>
  <si>
    <t>QM3004D</t>
  </si>
  <si>
    <t>QM3006D</t>
  </si>
  <si>
    <t>QM3007K</t>
  </si>
  <si>
    <t>QM3014M3</t>
  </si>
  <si>
    <t>QM3202M3</t>
  </si>
  <si>
    <t>QM3301S</t>
  </si>
  <si>
    <t>QM3802S</t>
  </si>
  <si>
    <t>QM8205V</t>
  </si>
  <si>
    <t>RCLAMP0502N.TCT</t>
  </si>
  <si>
    <t>RCLAMP0503N.TCT</t>
  </si>
  <si>
    <t>RCLAMP0504F.TCT</t>
  </si>
  <si>
    <t>RCLAMP0504M.TBT</t>
  </si>
  <si>
    <t>RCLAMP0504N.TCT</t>
  </si>
  <si>
    <t>RCLAMP0504PATCT</t>
  </si>
  <si>
    <t>RCLAMP0521P.TCT</t>
  </si>
  <si>
    <t>RCLAMP0521PATCT</t>
  </si>
  <si>
    <t>RCLAMP0521Z.TFT</t>
  </si>
  <si>
    <t>RCLAMP0521Z.TNT</t>
  </si>
  <si>
    <t>RCLAMP0522P.TCT</t>
  </si>
  <si>
    <t>RCLAMP0524J.TCT</t>
  </si>
  <si>
    <t>RCLAMP0524P.TCT</t>
  </si>
  <si>
    <t>RCLAMP0524PATCT</t>
  </si>
  <si>
    <t>RCLAMP0524S.TCT</t>
  </si>
  <si>
    <t>RCLAMP0531T.TCT</t>
  </si>
  <si>
    <t>RCLAMP0531Z.TNT</t>
  </si>
  <si>
    <t>RCLAMP0542Z.TFT</t>
  </si>
  <si>
    <t>RCLAMP0551P.TNT</t>
  </si>
  <si>
    <t>RCLAMP0551P.TST</t>
  </si>
  <si>
    <t>RCLAMP0554S.TCT</t>
  </si>
  <si>
    <t>RCLAMP0582N.TCT</t>
  </si>
  <si>
    <t>RCLAMP0584J.TCT</t>
  </si>
  <si>
    <t>RCLAMP1654P.TCT</t>
  </si>
  <si>
    <t>RCLAMP1821Z.TNT</t>
  </si>
  <si>
    <t>RCLAMP1851ZATFT</t>
  </si>
  <si>
    <t>RCLAMP2402B.TCT</t>
  </si>
  <si>
    <t>RCLAMP2431T.TCT</t>
  </si>
  <si>
    <t>RCLAMP2574N.TCT</t>
  </si>
  <si>
    <t>RCLAMP3304N.TCT</t>
  </si>
  <si>
    <t>RCLAMP3321P.TNT</t>
  </si>
  <si>
    <t>RCLAMP3324P.TCT</t>
  </si>
  <si>
    <t>RCLAMP3324T.TCT</t>
  </si>
  <si>
    <t>RCLAMP3328P</t>
  </si>
  <si>
    <t>RCLAMP3331ZATFT</t>
  </si>
  <si>
    <t>RCLAMP3374N.TCT</t>
  </si>
  <si>
    <t>RCLAMP3654P.TCT</t>
  </si>
  <si>
    <t>RCLAMP5011ZATFT</t>
  </si>
  <si>
    <t>RCLAMP7524T.TNT</t>
  </si>
  <si>
    <t>RCLAMP7528T.TNT</t>
  </si>
  <si>
    <t>RTC5601H</t>
  </si>
  <si>
    <t>RICHWAVE</t>
  </si>
  <si>
    <t>RTC5608</t>
  </si>
  <si>
    <t>RTC5612</t>
  </si>
  <si>
    <t>RTC5613</t>
  </si>
  <si>
    <t>RTC6602N</t>
  </si>
  <si>
    <t>RTC6603</t>
  </si>
  <si>
    <t>RTC6603S</t>
  </si>
  <si>
    <t>RTC6603SP</t>
  </si>
  <si>
    <t>RTC6607</t>
  </si>
  <si>
    <t>RTC6608OSP</t>
  </si>
  <si>
    <t>RTC6609</t>
  </si>
  <si>
    <t>RTC6609S</t>
  </si>
  <si>
    <t>RTC6610</t>
  </si>
  <si>
    <t>RTC6612</t>
  </si>
  <si>
    <t>RTC6615</t>
  </si>
  <si>
    <t>RTC6617</t>
  </si>
  <si>
    <t>RTC6617S</t>
  </si>
  <si>
    <t>RTC6618</t>
  </si>
  <si>
    <t>RTC6619</t>
  </si>
  <si>
    <t>RTC6649E</t>
  </si>
  <si>
    <t>RTC6655F</t>
  </si>
  <si>
    <t>RTC8612FR</t>
  </si>
  <si>
    <t>SC1565I5M1.8TRT</t>
  </si>
  <si>
    <t>SC1565IS-2.5TRT</t>
  </si>
  <si>
    <t>SC1565IST18TRT</t>
  </si>
  <si>
    <t>SC1565IST25TRT</t>
  </si>
  <si>
    <t>SC1566I5M2.5TRT</t>
  </si>
  <si>
    <t>SC186ULTRT</t>
  </si>
  <si>
    <t>SC191AWLTRT</t>
  </si>
  <si>
    <t>SC21150BCSTRT</t>
  </si>
  <si>
    <t>SC2595STRT</t>
  </si>
  <si>
    <t>SC284AULTRC</t>
  </si>
  <si>
    <t>SC310ASKTRT</t>
  </si>
  <si>
    <t>SC417MLTRT</t>
  </si>
  <si>
    <t>SC4211STRT</t>
  </si>
  <si>
    <t>SC4212MLTRT</t>
  </si>
  <si>
    <t>SC4215ASTRT</t>
  </si>
  <si>
    <t>SC4215ISTRT</t>
  </si>
  <si>
    <t>SC431CSK-2TRT</t>
  </si>
  <si>
    <t>SC4501MLTRT</t>
  </si>
  <si>
    <t>SC4503TSKTRT</t>
  </si>
  <si>
    <t>SC4503WLTRT</t>
  </si>
  <si>
    <t>SC4510ITSTRT</t>
  </si>
  <si>
    <t>SC4538ULTRT</t>
  </si>
  <si>
    <t>SC4595TSKTRT</t>
  </si>
  <si>
    <t>SC4624MLTRT</t>
  </si>
  <si>
    <t>SC560AULTRT</t>
  </si>
  <si>
    <t>SC563LHULTRC</t>
  </si>
  <si>
    <t>SC630AULTRT</t>
  </si>
  <si>
    <t>SC632ULTRT</t>
  </si>
  <si>
    <t>SC705CSTRT</t>
  </si>
  <si>
    <t>SD05C.TCT</t>
  </si>
  <si>
    <t>SD12.TCT</t>
  </si>
  <si>
    <t>SLVU2.8-4.TBT</t>
  </si>
  <si>
    <t>SM12.TCT</t>
  </si>
  <si>
    <t>SM24.TCT</t>
  </si>
  <si>
    <t>SM712.TCT</t>
  </si>
  <si>
    <t>SMDA05C.TBT</t>
  </si>
  <si>
    <t>SMDA24C.TBT</t>
  </si>
  <si>
    <t>SMS24C.TCT</t>
  </si>
  <si>
    <t>SR05.TCT</t>
  </si>
  <si>
    <t>SR3.3.TCT</t>
  </si>
  <si>
    <t>SR70.TCT</t>
  </si>
  <si>
    <t>SRV05-4.TCT</t>
  </si>
  <si>
    <t>SRV05-4ATCT</t>
  </si>
  <si>
    <t>SX1232IMLTRT</t>
  </si>
  <si>
    <t>SX1257IWLTRT</t>
  </si>
  <si>
    <t>SX1272IMLTRT</t>
  </si>
  <si>
    <t>SX1276IMLTRT</t>
  </si>
  <si>
    <t>SX1301IMLTRC</t>
  </si>
  <si>
    <t>SX8651IWLTRT</t>
  </si>
  <si>
    <t>SX9300IULTRT</t>
  </si>
  <si>
    <t>SX9305AICSTRT</t>
  </si>
  <si>
    <t>SX9306ICSTRT</t>
  </si>
  <si>
    <t>SX9306IULTRT</t>
  </si>
  <si>
    <t>TCLAMP3302N.TCT</t>
  </si>
  <si>
    <t>TOSHIBA</t>
  </si>
  <si>
    <t>TSL2584TSV</t>
  </si>
  <si>
    <t>TSL25911FN</t>
  </si>
  <si>
    <t>UCLAMP0501H.TCT</t>
  </si>
  <si>
    <t>UCLAMP0501P.TCT</t>
  </si>
  <si>
    <t>UCLAMP0501T.TCT</t>
  </si>
  <si>
    <t>UCLAMP0505A.TCT</t>
  </si>
  <si>
    <t>UCLAMP0508T.TCT</t>
  </si>
  <si>
    <t>UCLAMP0511P.TCT</t>
  </si>
  <si>
    <t>UCLAMP0511PQTCT</t>
  </si>
  <si>
    <t>UCLAMP0511T.TCT</t>
  </si>
  <si>
    <t>UCLAMP0511Z.TNT</t>
  </si>
  <si>
    <t>UCLAMP0541Z.TFT</t>
  </si>
  <si>
    <t>UCLAMP0551Y.TFT</t>
  </si>
  <si>
    <t>UCLAMP1211Z.TNT</t>
  </si>
  <si>
    <t>UCLAMP2401T.TCT</t>
  </si>
  <si>
    <t>UCLAMP2411ZATFT</t>
  </si>
  <si>
    <t>UCLAMP2512T.TCT</t>
  </si>
  <si>
    <t>UCLAMP2671P.TNT</t>
  </si>
  <si>
    <t>UCLAMP3304A.TCT</t>
  </si>
  <si>
    <t>UCLAMP3311T.TCT</t>
  </si>
  <si>
    <t>UCLAMP3311Z.TNT</t>
  </si>
  <si>
    <t>UCLAMP3324P.TCT</t>
  </si>
  <si>
    <t>UCLAMP5011ZATFT</t>
  </si>
  <si>
    <t>UP0101QSW8</t>
  </si>
  <si>
    <t>UPI</t>
  </si>
  <si>
    <t>UP0104RDDA</t>
  </si>
  <si>
    <t>UP0104RSU8</t>
  </si>
  <si>
    <t>UP0104SSW8</t>
  </si>
  <si>
    <t>UP0104TDDA</t>
  </si>
  <si>
    <t>UP0104TSU8</t>
  </si>
  <si>
    <t>UP0107CMA5-00</t>
  </si>
  <si>
    <t>UP0109PSW8</t>
  </si>
  <si>
    <t>UP0121PSW8</t>
  </si>
  <si>
    <t>UP0125PSW8</t>
  </si>
  <si>
    <t>UP1514QSA8</t>
  </si>
  <si>
    <t>UP1536RDDA</t>
  </si>
  <si>
    <t>UP1539QQDD</t>
  </si>
  <si>
    <t>UP1564PQKF</t>
  </si>
  <si>
    <t>UP1586PQAG</t>
  </si>
  <si>
    <t>UP1591SQKF</t>
  </si>
  <si>
    <t>UP1642PQAG</t>
  </si>
  <si>
    <t>UP1651RQGJ</t>
  </si>
  <si>
    <t>UP1658PQKF</t>
  </si>
  <si>
    <t>UP1665PQKF</t>
  </si>
  <si>
    <t>UP1666QQKF</t>
  </si>
  <si>
    <t>UP1727PDDA</t>
  </si>
  <si>
    <t>UP1728PDDA</t>
  </si>
  <si>
    <t>UP1728QDDA</t>
  </si>
  <si>
    <t>UP1728SDDA</t>
  </si>
  <si>
    <t>UP1952QDD8</t>
  </si>
  <si>
    <t>UP7501M8</t>
  </si>
  <si>
    <t>UP7536AMA8</t>
  </si>
  <si>
    <t>UP7549TMA5-25</t>
  </si>
  <si>
    <t>UP8807PDE6-00</t>
  </si>
  <si>
    <t>UP9509PQAG</t>
  </si>
  <si>
    <t>UP9511PQGJ</t>
  </si>
  <si>
    <t>ZTP1117SA</t>
  </si>
  <si>
    <t>ZILLTEK</t>
  </si>
  <si>
    <t>Ivan</t>
  </si>
  <si>
    <t xml:space="preserve">Ivan </t>
  </si>
  <si>
    <t>Bryan</t>
  </si>
  <si>
    <t>Joy</t>
  </si>
  <si>
    <t>Vincent</t>
  </si>
  <si>
    <t>Sam</t>
  </si>
  <si>
    <t>Pinky,Tomson,Sam</t>
  </si>
  <si>
    <t>Sam/Pinky</t>
  </si>
  <si>
    <t>Pinky,Sam</t>
  </si>
  <si>
    <t>Sid</t>
  </si>
  <si>
    <t>Sid,Pinky,Sam</t>
  </si>
  <si>
    <t>Pinky.Sam</t>
  </si>
  <si>
    <t>Sid,Sam</t>
  </si>
  <si>
    <t>Sid,Pinky,Sam,</t>
  </si>
  <si>
    <t>SidSam</t>
  </si>
  <si>
    <t>Pinky</t>
  </si>
  <si>
    <t>Pinky,</t>
  </si>
  <si>
    <t>Sid,Pinky</t>
  </si>
  <si>
    <t>Tomson</t>
  </si>
  <si>
    <t>sam</t>
  </si>
  <si>
    <t>Tomson,Sam</t>
  </si>
  <si>
    <t>Sid,Tomson</t>
  </si>
  <si>
    <t>Sid,Tomson,Sam</t>
  </si>
  <si>
    <t>Pinky,Tomson</t>
  </si>
  <si>
    <t>Sam,Pinky</t>
  </si>
  <si>
    <t>Sid,Pinky,</t>
  </si>
  <si>
    <t>Pinky,Tomsom</t>
  </si>
  <si>
    <t>Pinky,sid</t>
  </si>
  <si>
    <t>Pinky,Tomsom,sam,sid</t>
  </si>
  <si>
    <t>Pinky,Sid</t>
  </si>
  <si>
    <t>SidPinky,Tomson,Sam</t>
  </si>
  <si>
    <t>Sid,Pinky,Tomson</t>
  </si>
  <si>
    <t>AO3456</t>
    <phoneticPr fontId="1" type="noConversion"/>
  </si>
  <si>
    <t>THGBR2G5D1JTAI0H2H</t>
    <phoneticPr fontId="1" type="noConversion"/>
  </si>
  <si>
    <t>RTC6608O</t>
    <phoneticPr fontId="1" type="noConversion"/>
  </si>
  <si>
    <t>AOZ8001DI</t>
    <phoneticPr fontId="1" type="noConversion"/>
  </si>
  <si>
    <t>AON6970</t>
    <phoneticPr fontId="1" type="noConversion"/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</si>
</sst>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76" formatCode="#,##0_);[Red]\(#,##0\)"/>
    <numFmt numFmtId="177" formatCode="#,##0.0_);[Red]\(#,##0.0\)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Microsoft YaHei"/>
      <family val="2"/>
    </font>
    <font>
      <sz val="10"/>
      <color theme="1"/>
      <name val="Microsoft YaHei"/>
      <family val="2"/>
      <charset val="134"/>
    </font>
    <font>
      <b/>
      <sz val="10"/>
      <color theme="0"/>
      <name val="Microsoft YaHei"/>
      <family val="2"/>
    </font>
    <font>
      <b/>
      <sz val="10"/>
      <color theme="0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12"/>
      <name val="新細明體"/>
      <family val="1"/>
      <charset val="136"/>
    </font>
    <font>
      <b/>
      <sz val="10"/>
      <color rgb="FFFFFF00"/>
      <name val="Microsoft YaHei"/>
      <family val="2"/>
    </font>
    <font>
      <sz val="10"/>
      <color theme="1"/>
      <name val="Microsoft YaHei"/>
      <family val="2"/>
      <charset val="136"/>
    </font>
    <font>
      <sz val="10"/>
      <name val="Microsoft YaHei"/>
      <family val="2"/>
      <charset val="136"/>
    </font>
    <font>
      <sz val="11"/>
      <color indexed="8"/>
      <name val="新細明體"/>
      <family val="2"/>
      <scheme val="minor"/>
    </font>
    <font>
      <u/>
      <sz val="10"/>
      <color indexed="12"/>
      <name val="Microsoft YaHei"/>
      <family val="2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</font>
    <font>
      <sz val="12"/>
      <name val="宋体"/>
      <family val="3"/>
      <charset val="136"/>
    </font>
    <font>
      <sz val="10"/>
      <color rgb="FF7030A0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/>
      <diagonal/>
    </border>
    <border>
      <left/>
      <right style="thin">
        <color theme="3" tint="0.39997558519241921"/>
      </right>
      <top style="thin">
        <color theme="3" tint="0.39997558519241921"/>
      </top>
      <bottom/>
      <diagonal/>
    </border>
    <border>
      <left/>
      <right style="thin">
        <color theme="3" tint="0.39997558519241921"/>
      </right>
      <top/>
      <bottom style="thin">
        <color theme="3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 style="thin">
        <color theme="3" tint="0.39997558519241921"/>
      </bottom>
      <diagonal/>
    </border>
  </borders>
  <cellStyleXfs count="20">
    <xf numFmtId="0" fontId="0" fillId="0" borderId="0">
      <alignment vertical="center"/>
    </xf>
    <xf numFmtId="0" fontId="8" fillId="0" borderId="0"/>
    <xf numFmtId="0" fontId="9" fillId="0" borderId="0"/>
    <xf numFmtId="0" fontId="7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>
      <alignment vertical="center"/>
    </xf>
    <xf numFmtId="0" fontId="13" fillId="0" borderId="0">
      <alignment vertical="center"/>
    </xf>
    <xf numFmtId="0" fontId="12" fillId="0" borderId="0"/>
    <xf numFmtId="0" fontId="7" fillId="0" borderId="0">
      <alignment vertical="center"/>
    </xf>
    <xf numFmtId="0" fontId="14" fillId="0" borderId="0" applyNumberFormat="0" applyFill="0" applyBorder="0" applyAlignment="0" applyProtection="0"/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>
      <alignment vertical="center"/>
    </xf>
    <xf numFmtId="0" fontId="17" fillId="0" borderId="0"/>
    <xf numFmtId="43" fontId="7" fillId="0" borderId="0" applyFont="0" applyFill="0" applyBorder="0" applyAlignment="0" applyProtection="0">
      <alignment vertical="center"/>
    </xf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1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49" fontId="6" fillId="0" borderId="1" xfId="0" applyNumberFormat="1" applyFont="1" applyFill="1" applyBorder="1">
      <alignment vertical="center"/>
    </xf>
    <xf numFmtId="4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NumberFormat="1" applyFont="1" applyFill="1" applyBorder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18" fillId="0" borderId="1" xfId="0" applyNumberFormat="1" applyFont="1" applyFill="1" applyBorder="1">
      <alignment vertical="center"/>
    </xf>
    <xf numFmtId="0" fontId="18" fillId="0" borderId="1" xfId="0" applyNumberFormat="1" applyFont="1" applyFill="1" applyBorder="1">
      <alignment vertical="center"/>
    </xf>
    <xf numFmtId="0" fontId="10" fillId="2" borderId="4" xfId="0" applyFont="1" applyFill="1" applyBorder="1" applyAlignment="1">
      <alignment horizontal="center" vertical="center"/>
    </xf>
    <xf numFmtId="49" fontId="6" fillId="3" borderId="1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0" fontId="2" fillId="3" borderId="1" xfId="0" applyNumberFormat="1" applyFont="1" applyFill="1" applyBorder="1">
      <alignment vertical="center"/>
    </xf>
    <xf numFmtId="177" fontId="2" fillId="3" borderId="1" xfId="0" applyNumberFormat="1" applyFont="1" applyFill="1" applyBorder="1">
      <alignment vertical="center"/>
    </xf>
    <xf numFmtId="176" fontId="18" fillId="3" borderId="1" xfId="0" applyNumberFormat="1" applyFont="1" applyFill="1" applyBorder="1">
      <alignment vertical="center"/>
    </xf>
    <xf numFmtId="176" fontId="2" fillId="3" borderId="1" xfId="0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18" fillId="3" borderId="1" xfId="0" applyNumberFormat="1" applyFont="1" applyFill="1" applyBorder="1">
      <alignment vertical="center"/>
    </xf>
    <xf numFmtId="176" fontId="2" fillId="3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>
      <alignment vertical="center"/>
    </xf>
  </cellXfs>
  <cellStyles count="20">
    <cellStyle name="_x000d__x000a_JournalTemplate=C:\COMFO\CTALK\JOURSTD.TPL_x000d__x000a_LbStateAddress=3 3 0 251 1 89 2 311_x000d__x000a_LbStateJou" xfId="1"/>
    <cellStyle name="AutoFormat Options" xfId="5"/>
    <cellStyle name="AutoFormat Options 2" xfId="14"/>
    <cellStyle name="MS Sans Serif" xfId="2"/>
    <cellStyle name="一般" xfId="0" builtinId="0"/>
    <cellStyle name="一般 2" xfId="3"/>
    <cellStyle name="一般 2 2" xfId="6"/>
    <cellStyle name="一般 2 3" xfId="11"/>
    <cellStyle name="一般 2 4" xfId="18"/>
    <cellStyle name="一般 3" xfId="7"/>
    <cellStyle name="一般 3 2" xfId="8"/>
    <cellStyle name="一般 3 3" xfId="16"/>
    <cellStyle name="一般 4" xfId="9"/>
    <cellStyle name="一般 4 2" xfId="19"/>
    <cellStyle name="一般 5" xfId="4"/>
    <cellStyle name="千分位 2" xfId="13"/>
    <cellStyle name="千分位 2 2" xfId="17"/>
    <cellStyle name="千分位 3" xfId="15"/>
    <cellStyle name="超連結 2" xfId="10"/>
    <cellStyle name="超連結 2 2" xfId="12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7" formatCode="#,##0.0_);[Red]\(#,##0.0\)"/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relativeIndent="255" justifyLastLine="0" shrinkToFit="0" readingOrder="0"/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7" formatCode="#,##0.0_);[Red]\(#,##0.0\)"/>
      <fill>
        <patternFill patternType="none">
          <fgColor indexed="64"/>
          <bgColor indexed="65"/>
        </patternFill>
      </fill>
      <alignment horizontal="general" vertical="center" textRotation="0" wrapText="0" indent="0" relativeIndent="255" justifyLastLine="0" shrinkToFit="0" readingOrder="0"/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7" formatCode="#,##0.0_);[Red]\(#,##0.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alignment horizontal="general" vertical="center" textRotation="0" wrapText="0" indent="0" relativeIndent="255" justifyLastLine="0" shrinkToFit="0" readingOrder="0"/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Microsoft YaHe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030A0"/>
        <name val="Microsoft YaHei"/>
        <scheme val="none"/>
      </font>
      <numFmt numFmtId="176" formatCode="#,##0_);[Red]\(#,##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7" formatCode="#,##0.0_);[Red]\(#,##0.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7" formatCode="#,##0.0_);[Red]\(#,##0.0\)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177" formatCode="#,##0.0_);[Red]\(#,##0.0\)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numFmt numFmtId="30" formatCode="@"/>
      <fill>
        <patternFill patternType="none">
          <fgColor indexed="64"/>
          <bgColor indexed="65"/>
        </patternFill>
      </fill>
      <border diagonalUp="0" diagonalDown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theme="3" tint="0.39997558519241921"/>
        </right>
        <top style="thin">
          <color theme="3" tint="0.39997558519241921"/>
        </top>
        <bottom/>
        <vertical/>
        <horizontal/>
      </border>
    </dxf>
    <dxf>
      <border outline="0">
        <top style="thin">
          <color theme="3" tint="0.39997558519241921"/>
        </top>
      </border>
    </dxf>
    <dxf>
      <border outline="0">
        <left style="thin">
          <color theme="3" tint="0.39997558519241921"/>
        </left>
        <right style="thin">
          <color theme="3" tint="0.39997558519241921"/>
        </right>
        <top style="thin">
          <color theme="3" tint="0.39997558519241921"/>
        </top>
        <bottom style="thin">
          <color theme="3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theme="3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icrosoft YaHei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relativeIndent="255" justifyLastLine="0" shrinkToFit="0" readingOrder="0"/>
      <border diagonalUp="0" diagonalDown="0" outline="0">
        <left style="thin">
          <color theme="3" tint="0.39997558519241921"/>
        </left>
        <right style="thin">
          <color theme="3" tint="0.3999755851924192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1" displayName="表格1" ref="A3:AH695" totalsRowShown="0" headerRowDxfId="38" dataDxfId="36" headerRowBorderDxfId="37" tableBorderDxfId="35" totalsRowBorderDxfId="34">
  <autoFilter ref="A3:AH695"/>
  <tableColumns count="34">
    <tableColumn id="1" name="Type" dataDxfId="33">
      <calculatedColumnFormula>IF(OR(Z4=0,LEN(Z4)=0)*OR(AA4=0,LEN(AA4)=0),IF(W4&gt;0,"ZeroZero","None"),IF(IF(LEN(X4)=0,0,X4)&gt;16,"OverStock",IF(Z4=0,"FCST","Normal")))</calculatedColumnFormula>
    </tableColumn>
    <tableColumn id="2" name="Item Short Name" dataDxfId="32"/>
    <tableColumn id="3" name="Brand" dataDxfId="31"/>
    <tableColumn id="4" name="OH WK" dataDxfId="30">
      <calculatedColumnFormula>IF(Z4=0,"前八週無拉料",ROUND(L4/Z4,1))</calculatedColumnFormula>
    </tableColumn>
    <tableColumn id="5" name="OH FCST WK" dataDxfId="29">
      <calculatedColumnFormula>IF(OR(AA4=0,LEN(AA4)=0),"--",ROUND(L4/AA4,1))</calculatedColumnFormula>
    </tableColumn>
    <tableColumn id="6" name="BL WK" dataDxfId="28">
      <calculatedColumnFormula>IF(Z4=0,"--",ROUND(I4/Z4,1))</calculatedColumnFormula>
    </tableColumn>
    <tableColumn id="7" name="BL FCST WK" dataDxfId="27">
      <calculatedColumnFormula>IF(OR(AA4=0,LEN(AA4)=0),"--",ROUND(I4/AA4,1))</calculatedColumnFormula>
    </tableColumn>
    <tableColumn id="8" name="Last BL" dataDxfId="26">
      <calculatedColumnFormula>IFERROR(VLOOKUP(B4,#REF!,8,FALSE),"")</calculatedColumnFormula>
    </tableColumn>
    <tableColumn id="9" name="Backlog" dataDxfId="25"/>
    <tableColumn id="10" name="BL &lt;= 9WKs" dataDxfId="24"/>
    <tableColumn id="11" name="Last TTL OH" dataDxfId="23">
      <calculatedColumnFormula>IFERROR(VLOOKUP(B4,#REF!,11,FALSE),"")</calculatedColumnFormula>
    </tableColumn>
    <tableColumn id="12" name="TTL OH" dataDxfId="22"/>
    <tableColumn id="13" name="Sales" dataDxfId="21"/>
    <tableColumn id="14" name="Stage" dataDxfId="20">
      <calculatedColumnFormula>IFERROR(VLOOKUP(B4,#REF!,13,FALSE),"")</calculatedColumnFormula>
    </tableColumn>
    <tableColumn id="15" name="Status" dataDxfId="19">
      <calculatedColumnFormula>IFERROR(VLOOKUP(B4,#REF!,14,FALSE),"")</calculatedColumnFormula>
    </tableColumn>
    <tableColumn id="16" name="Owner" dataDxfId="18">
      <calculatedColumnFormula>IFERROR(VLOOKUP(B4,#REF!,15,FALSE),"")</calculatedColumnFormula>
    </tableColumn>
    <tableColumn id="17" name="Action" dataDxfId="17"/>
    <tableColumn id="18" name="Last Action" dataDxfId="16">
      <calculatedColumnFormula>IFERROR(VLOOKUP(B4,#REF!,16,FALSE),"")</calculatedColumnFormula>
    </tableColumn>
    <tableColumn id="19" name="On the way" dataDxfId="15"/>
    <tableColumn id="20" name="DC OH" dataDxfId="14"/>
    <tableColumn id="21" name="Hub OH" dataDxfId="13"/>
    <tableColumn id="22" name="Others OH" dataDxfId="12"/>
    <tableColumn id="23" name="Avail." dataDxfId="11"/>
    <tableColumn id="24" name="Actual WK" dataDxfId="10"/>
    <tableColumn id="25" name="FCST WK" dataDxfId="9"/>
    <tableColumn id="26" name="Actual AWU" dataDxfId="8"/>
    <tableColumn id="27" name="FCST AWU" dataDxfId="7"/>
    <tableColumn id="28" name="Ratio" dataDxfId="6"/>
    <tableColumn id="29" name="Diret." dataDxfId="5">
      <calculatedColumnFormula>IF($AB4="E","E",IF($AB4="F","F",IF($AB4&lt;0.5,50,IF($AB4&lt;2,100,150))))</calculatedColumnFormula>
    </tableColumn>
    <tableColumn id="30" name="FCST M" dataDxfId="4"/>
    <tableColumn id="31" name="FCST M1" dataDxfId="3"/>
    <tableColumn id="32" name="FCST M2" dataDxfId="2"/>
    <tableColumn id="33" name="FCST M3" dataDxfId="1"/>
    <tableColumn id="35" name="Custom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695"/>
  <sheetViews>
    <sheetView tabSelected="1" zoomScale="70" zoomScaleNormal="70" workbookViewId="0">
      <selection activeCell="AI1" sqref="AI1:AM1048576"/>
    </sheetView>
  </sheetViews>
  <sheetFormatPr defaultColWidth="9" defaultRowHeight="14.5"/>
  <cols>
    <col min="1" max="1" width="11.6328125" style="2" customWidth="1" collapsed="1"/>
    <col min="2" max="2" width="25.6328125" style="2" customWidth="1" collapsed="1"/>
    <col min="3" max="3" width="8.6328125" style="2" customWidth="1" collapsed="1"/>
    <col min="4" max="4" width="6.6328125" style="5" customWidth="1" collapsed="1"/>
    <col min="5" max="5" width="8.6328125" style="2" customWidth="1" collapsed="1"/>
    <col min="6" max="6" width="7.6328125" style="5" customWidth="1" collapsed="1"/>
    <col min="7" max="7" width="8.6328125" style="5" customWidth="1" collapsed="1"/>
    <col min="8" max="11" width="10.6328125" style="4" customWidth="1" collapsed="1"/>
    <col min="12" max="12" width="10.6328125" style="2" customWidth="1" collapsed="1"/>
    <col min="13" max="16" width="8.6328125" style="2" customWidth="1" collapsed="1"/>
    <col min="17" max="17" width="15.6328125" style="2" customWidth="1" collapsed="1"/>
    <col min="18" max="18" width="31.1796875" style="2" customWidth="1" collapsed="1"/>
    <col min="19" max="21" width="10.6328125" style="2" customWidth="1" collapsed="1"/>
    <col min="22" max="22" width="8.1796875" style="5" customWidth="1" collapsed="1"/>
    <col min="23" max="23" width="10.6328125" style="2" customWidth="1" collapsed="1"/>
    <col min="24" max="25" width="8.6328125" style="2" customWidth="1" collapsed="1"/>
    <col min="26" max="27" width="10.6328125" style="2" customWidth="1" collapsed="1"/>
    <col min="28" max="29" width="6.6328125" style="2" customWidth="1" collapsed="1"/>
    <col min="30" max="33" width="10.6328125" style="2" customWidth="1" collapsed="1"/>
    <col min="34" max="34" width="9.81640625" style="2" customWidth="1" collapsed="1"/>
    <col min="35" max="39" width="9" style="2"/>
    <col min="40" max="40" width="9" style="2" collapsed="1"/>
    <col min="41" max="57" width="9" style="2"/>
    <col min="58" max="16384" width="9" style="2" collapsed="1"/>
  </cols>
  <sheetData>
    <row r="1" spans="1:34">
      <c r="A1" s="1" t="s">
        <v>0</v>
      </c>
      <c r="B1" s="2" t="s">
        <v>25</v>
      </c>
    </row>
    <row r="2" spans="1:34">
      <c r="A2" s="2" t="s">
        <v>1</v>
      </c>
      <c r="B2" s="3" t="s">
        <v>37</v>
      </c>
    </row>
    <row r="3" spans="1:34" ht="29">
      <c r="A3" s="7" t="s">
        <v>21</v>
      </c>
      <c r="B3" s="8" t="s">
        <v>18</v>
      </c>
      <c r="C3" s="8" t="s">
        <v>3</v>
      </c>
      <c r="D3" s="9" t="s">
        <v>22</v>
      </c>
      <c r="E3" s="9" t="s">
        <v>28</v>
      </c>
      <c r="F3" s="9" t="s">
        <v>29</v>
      </c>
      <c r="G3" s="9" t="s">
        <v>30</v>
      </c>
      <c r="H3" s="8" t="s">
        <v>23</v>
      </c>
      <c r="I3" s="10" t="s">
        <v>19</v>
      </c>
      <c r="J3" s="10" t="s">
        <v>24</v>
      </c>
      <c r="K3" s="10" t="s">
        <v>31</v>
      </c>
      <c r="L3" s="10" t="s">
        <v>32</v>
      </c>
      <c r="M3" s="9" t="s">
        <v>20</v>
      </c>
      <c r="N3" s="26" t="s">
        <v>26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33</v>
      </c>
      <c r="T3" s="10" t="s">
        <v>34</v>
      </c>
      <c r="U3" s="10" t="s">
        <v>35</v>
      </c>
      <c r="V3" s="10" t="s">
        <v>36</v>
      </c>
      <c r="W3" s="10" t="s">
        <v>4</v>
      </c>
      <c r="X3" s="10" t="s">
        <v>11</v>
      </c>
      <c r="Y3" s="10" t="s">
        <v>12</v>
      </c>
      <c r="Z3" s="10" t="s">
        <v>10</v>
      </c>
      <c r="AA3" s="11" t="s">
        <v>27</v>
      </c>
      <c r="AB3" s="12" t="s">
        <v>5</v>
      </c>
      <c r="AC3" s="12" t="s">
        <v>17</v>
      </c>
      <c r="AD3" s="12" t="s">
        <v>6</v>
      </c>
      <c r="AE3" s="12" t="s">
        <v>7</v>
      </c>
      <c r="AF3" s="12" t="s">
        <v>8</v>
      </c>
      <c r="AG3" s="12" t="s">
        <v>9</v>
      </c>
      <c r="AH3" s="8" t="s">
        <v>2</v>
      </c>
    </row>
    <row r="4" spans="1:34" ht="15.5" customHeight="1">
      <c r="A4" s="13" t="str">
        <f t="shared" ref="A4:A67" si="0">IF(OR(Z4=0,LEN(Z4)=0)*OR(AA4=0,LEN(AA4)=0),IF(W4&gt;0,"ZeroZero","None"),IF(IF(LEN(X4)=0,0,X4)&gt;16,"OverStock",IF(Z4=0,"FCST","Normal")))</f>
        <v>OverStock</v>
      </c>
      <c r="B4" s="14" t="s">
        <v>439</v>
      </c>
      <c r="C4" s="15" t="s">
        <v>280</v>
      </c>
      <c r="D4" s="19">
        <f t="shared" ref="D4:D67" si="1">IF(Z4=0,"前八週無拉料",ROUND(L4/Z4,1))</f>
        <v>22.7</v>
      </c>
      <c r="E4" s="16">
        <f t="shared" ref="E4:E67" si="2">IF(OR(AA4=0,LEN(AA4)=0),"--",ROUND(L4/AA4,1))</f>
        <v>26.6</v>
      </c>
      <c r="F4" s="16">
        <f t="shared" ref="F4:F67" si="3">IF(Z4=0,"--",ROUND(I4/Z4,1))</f>
        <v>14.5</v>
      </c>
      <c r="G4" s="16">
        <f t="shared" ref="G4:G67" si="4">IF(OR(AA4=0,LEN(AA4)=0),"--",ROUND(I4/AA4,1))</f>
        <v>17</v>
      </c>
      <c r="H4" s="24" t="str">
        <f>IFERROR(VLOOKUP(B4,#REF!,8,FALSE),"")</f>
        <v/>
      </c>
      <c r="I4" s="17">
        <v>9264000</v>
      </c>
      <c r="J4" s="17">
        <v>2328000</v>
      </c>
      <c r="K4" s="24" t="str">
        <f>IFERROR(VLOOKUP(B4,#REF!,11,FALSE),"")</f>
        <v/>
      </c>
      <c r="L4" s="17">
        <v>14529000</v>
      </c>
      <c r="M4" s="6" t="s">
        <v>748</v>
      </c>
      <c r="N4" s="18" t="str">
        <f>IFERROR(VLOOKUP(B4,#REF!,13,FALSE),"")</f>
        <v/>
      </c>
      <c r="O4" s="19" t="str">
        <f>IFERROR(VLOOKUP(B4,#REF!,14,FALSE),"")</f>
        <v/>
      </c>
      <c r="P4" s="19" t="str">
        <f>IFERROR(VLOOKUP(B4,#REF!,15,FALSE),"")</f>
        <v/>
      </c>
      <c r="Q4" s="19"/>
      <c r="R4" s="25" t="str">
        <f>IFERROR(VLOOKUP(B4,#REF!,16,FALSE),"")</f>
        <v/>
      </c>
      <c r="S4" s="17">
        <v>1200000</v>
      </c>
      <c r="T4" s="17">
        <v>10035000</v>
      </c>
      <c r="U4" s="17">
        <v>3294000</v>
      </c>
      <c r="V4" s="17">
        <v>0</v>
      </c>
      <c r="W4" s="20">
        <v>23793000</v>
      </c>
      <c r="X4" s="16">
        <v>37.1</v>
      </c>
      <c r="Y4" s="21">
        <v>43.6</v>
      </c>
      <c r="Z4" s="20">
        <v>640500</v>
      </c>
      <c r="AA4" s="17">
        <v>545350</v>
      </c>
      <c r="AB4" s="22">
        <v>0.9</v>
      </c>
      <c r="AC4" s="23">
        <f t="shared" ref="AC4:AC67" si="5">IF($AB4="E","E",IF($AB4="F","F",IF($AB4&lt;0.5,50,IF($AB4&lt;2,100,150))))</f>
        <v>100</v>
      </c>
      <c r="AD4" s="17">
        <v>1020108</v>
      </c>
      <c r="AE4" s="17">
        <v>2789342</v>
      </c>
      <c r="AF4" s="17">
        <v>1220310</v>
      </c>
      <c r="AG4" s="17">
        <v>1121830</v>
      </c>
      <c r="AH4" s="15" t="s">
        <v>42</v>
      </c>
    </row>
    <row r="5" spans="1:34">
      <c r="A5" s="13" t="str">
        <f t="shared" si="0"/>
        <v>OverStock</v>
      </c>
      <c r="B5" s="14" t="s">
        <v>777</v>
      </c>
      <c r="C5" s="15" t="s">
        <v>608</v>
      </c>
      <c r="D5" s="19">
        <f t="shared" si="1"/>
        <v>17.5</v>
      </c>
      <c r="E5" s="16">
        <f t="shared" si="2"/>
        <v>51.5</v>
      </c>
      <c r="F5" s="16">
        <f t="shared" si="3"/>
        <v>44.8</v>
      </c>
      <c r="G5" s="16">
        <f t="shared" si="4"/>
        <v>132.19999999999999</v>
      </c>
      <c r="H5" s="24" t="str">
        <f>IFERROR(VLOOKUP(B5,#REF!,8,FALSE),"")</f>
        <v/>
      </c>
      <c r="I5" s="17">
        <v>28200355</v>
      </c>
      <c r="J5" s="17">
        <v>26700000</v>
      </c>
      <c r="K5" s="24" t="str">
        <f>IFERROR(VLOOKUP(B5,#REF!,11,FALSE),"")</f>
        <v/>
      </c>
      <c r="L5" s="17">
        <v>10990800</v>
      </c>
      <c r="M5" s="6" t="s">
        <v>771</v>
      </c>
      <c r="N5" s="18" t="str">
        <f>IFERROR(VLOOKUP(B5,#REF!,13,FALSE),"")</f>
        <v/>
      </c>
      <c r="O5" s="19" t="str">
        <f>IFERROR(VLOOKUP(B5,#REF!,14,FALSE),"")</f>
        <v/>
      </c>
      <c r="P5" s="19" t="str">
        <f>IFERROR(VLOOKUP(B5,#REF!,15,FALSE),"")</f>
        <v/>
      </c>
      <c r="Q5" s="19"/>
      <c r="R5" s="25" t="str">
        <f>IFERROR(VLOOKUP(B5,#REF!,16,FALSE),"")</f>
        <v/>
      </c>
      <c r="S5" s="17">
        <v>0</v>
      </c>
      <c r="T5" s="17">
        <v>10990800</v>
      </c>
      <c r="U5" s="17">
        <v>0</v>
      </c>
      <c r="V5" s="17">
        <v>0</v>
      </c>
      <c r="W5" s="20">
        <v>39191155</v>
      </c>
      <c r="X5" s="16">
        <v>62.2</v>
      </c>
      <c r="Y5" s="21">
        <v>183.7</v>
      </c>
      <c r="Z5" s="20">
        <v>629625</v>
      </c>
      <c r="AA5" s="17">
        <v>213334</v>
      </c>
      <c r="AB5" s="22">
        <v>0.3</v>
      </c>
      <c r="AC5" s="23">
        <f t="shared" si="5"/>
        <v>50</v>
      </c>
      <c r="AD5" s="17">
        <v>195000</v>
      </c>
      <c r="AE5" s="17">
        <v>975000</v>
      </c>
      <c r="AF5" s="17">
        <v>798000</v>
      </c>
      <c r="AG5" s="17">
        <v>690000</v>
      </c>
      <c r="AH5" s="15" t="s">
        <v>42</v>
      </c>
    </row>
    <row r="6" spans="1:34">
      <c r="A6" s="13" t="str">
        <f t="shared" si="0"/>
        <v>OverStock</v>
      </c>
      <c r="B6" s="14" t="s">
        <v>440</v>
      </c>
      <c r="C6" s="15" t="s">
        <v>280</v>
      </c>
      <c r="D6" s="19">
        <f t="shared" si="1"/>
        <v>9.3000000000000007</v>
      </c>
      <c r="E6" s="16">
        <f t="shared" si="2"/>
        <v>10.7</v>
      </c>
      <c r="F6" s="16">
        <f t="shared" si="3"/>
        <v>26.8</v>
      </c>
      <c r="G6" s="16">
        <f t="shared" si="4"/>
        <v>30.9</v>
      </c>
      <c r="H6" s="24" t="str">
        <f>IFERROR(VLOOKUP(B6,#REF!,8,FALSE),"")</f>
        <v/>
      </c>
      <c r="I6" s="17">
        <v>18483000</v>
      </c>
      <c r="J6" s="17">
        <v>7836000</v>
      </c>
      <c r="K6" s="24" t="str">
        <f>IFERROR(VLOOKUP(B6,#REF!,11,FALSE),"")</f>
        <v/>
      </c>
      <c r="L6" s="17">
        <v>6432000</v>
      </c>
      <c r="M6" s="6" t="s">
        <v>748</v>
      </c>
      <c r="N6" s="18" t="str">
        <f>IFERROR(VLOOKUP(B6,#REF!,13,FALSE),"")</f>
        <v/>
      </c>
      <c r="O6" s="19" t="str">
        <f>IFERROR(VLOOKUP(B6,#REF!,14,FALSE),"")</f>
        <v/>
      </c>
      <c r="P6" s="19" t="str">
        <f>IFERROR(VLOOKUP(B6,#REF!,15,FALSE),"")</f>
        <v/>
      </c>
      <c r="Q6" s="19"/>
      <c r="R6" s="25" t="str">
        <f>IFERROR(VLOOKUP(B6,#REF!,16,FALSE),"")</f>
        <v/>
      </c>
      <c r="S6" s="17">
        <v>0</v>
      </c>
      <c r="T6" s="17">
        <v>2952000</v>
      </c>
      <c r="U6" s="17">
        <v>3480000</v>
      </c>
      <c r="V6" s="17">
        <v>0</v>
      </c>
      <c r="W6" s="20">
        <v>24915000</v>
      </c>
      <c r="X6" s="16">
        <v>36.200000000000003</v>
      </c>
      <c r="Y6" s="21">
        <v>41.6</v>
      </c>
      <c r="Z6" s="20">
        <v>688875</v>
      </c>
      <c r="AA6" s="17">
        <v>598433</v>
      </c>
      <c r="AB6" s="22">
        <v>0.9</v>
      </c>
      <c r="AC6" s="23">
        <f t="shared" si="5"/>
        <v>100</v>
      </c>
      <c r="AD6" s="17">
        <v>648600</v>
      </c>
      <c r="AE6" s="17">
        <v>2797800</v>
      </c>
      <c r="AF6" s="17">
        <v>2155800</v>
      </c>
      <c r="AG6" s="17">
        <v>1743900</v>
      </c>
      <c r="AH6" s="15" t="s">
        <v>42</v>
      </c>
    </row>
    <row r="7" spans="1:34">
      <c r="A7" s="13" t="str">
        <f t="shared" si="0"/>
        <v>OverStock</v>
      </c>
      <c r="B7" s="14" t="s">
        <v>390</v>
      </c>
      <c r="C7" s="15" t="s">
        <v>280</v>
      </c>
      <c r="D7" s="19">
        <f t="shared" si="1"/>
        <v>22.7</v>
      </c>
      <c r="E7" s="16">
        <f t="shared" si="2"/>
        <v>43.8</v>
      </c>
      <c r="F7" s="16">
        <f t="shared" si="3"/>
        <v>293.89999999999998</v>
      </c>
      <c r="G7" s="16">
        <f t="shared" si="4"/>
        <v>565.9</v>
      </c>
      <c r="H7" s="24" t="str">
        <f>IFERROR(VLOOKUP(B7,#REF!,8,FALSE),"")</f>
        <v/>
      </c>
      <c r="I7" s="17">
        <v>7716000</v>
      </c>
      <c r="J7" s="17">
        <v>1914000</v>
      </c>
      <c r="K7" s="24" t="str">
        <f>IFERROR(VLOOKUP(B7,#REF!,11,FALSE),"")</f>
        <v/>
      </c>
      <c r="L7" s="17">
        <v>597000</v>
      </c>
      <c r="M7" s="6" t="s">
        <v>755</v>
      </c>
      <c r="N7" s="18" t="str">
        <f>IFERROR(VLOOKUP(B7,#REF!,13,FALSE),"")</f>
        <v/>
      </c>
      <c r="O7" s="19" t="str">
        <f>IFERROR(VLOOKUP(B7,#REF!,14,FALSE),"")</f>
        <v/>
      </c>
      <c r="P7" s="19" t="str">
        <f>IFERROR(VLOOKUP(B7,#REF!,15,FALSE),"")</f>
        <v/>
      </c>
      <c r="Q7" s="19"/>
      <c r="R7" s="25" t="str">
        <f>IFERROR(VLOOKUP(B7,#REF!,16,FALSE),"")</f>
        <v/>
      </c>
      <c r="S7" s="17">
        <v>0</v>
      </c>
      <c r="T7" s="17">
        <v>582000</v>
      </c>
      <c r="U7" s="17">
        <v>15000</v>
      </c>
      <c r="V7" s="17">
        <v>0</v>
      </c>
      <c r="W7" s="20">
        <v>8313000</v>
      </c>
      <c r="X7" s="16">
        <v>316.7</v>
      </c>
      <c r="Y7" s="21">
        <v>609.70000000000005</v>
      </c>
      <c r="Z7" s="20">
        <v>26250</v>
      </c>
      <c r="AA7" s="17">
        <v>13634</v>
      </c>
      <c r="AB7" s="22">
        <v>0.5</v>
      </c>
      <c r="AC7" s="23">
        <f t="shared" si="5"/>
        <v>100</v>
      </c>
      <c r="AD7" s="17">
        <v>18000</v>
      </c>
      <c r="AE7" s="17">
        <v>101699</v>
      </c>
      <c r="AF7" s="17">
        <v>69000</v>
      </c>
      <c r="AG7" s="17">
        <v>363000</v>
      </c>
      <c r="AH7" s="15" t="s">
        <v>42</v>
      </c>
    </row>
    <row r="8" spans="1:34">
      <c r="A8" s="13" t="str">
        <f t="shared" si="0"/>
        <v>OverStock</v>
      </c>
      <c r="B8" s="14" t="s">
        <v>623</v>
      </c>
      <c r="C8" s="15" t="s">
        <v>608</v>
      </c>
      <c r="D8" s="19">
        <f t="shared" si="1"/>
        <v>21.5</v>
      </c>
      <c r="E8" s="16">
        <f t="shared" si="2"/>
        <v>105.1</v>
      </c>
      <c r="F8" s="16">
        <f t="shared" si="3"/>
        <v>51.5</v>
      </c>
      <c r="G8" s="16">
        <f t="shared" si="4"/>
        <v>251.7</v>
      </c>
      <c r="H8" s="24" t="str">
        <f>IFERROR(VLOOKUP(B8,#REF!,8,FALSE),"")</f>
        <v/>
      </c>
      <c r="I8" s="17">
        <v>8223000</v>
      </c>
      <c r="J8" s="17">
        <v>8223000</v>
      </c>
      <c r="K8" s="24" t="str">
        <f>IFERROR(VLOOKUP(B8,#REF!,11,FALSE),"")</f>
        <v/>
      </c>
      <c r="L8" s="17">
        <v>3434050</v>
      </c>
      <c r="M8" s="6" t="s">
        <v>772</v>
      </c>
      <c r="N8" s="18" t="str">
        <f>IFERROR(VLOOKUP(B8,#REF!,13,FALSE),"")</f>
        <v/>
      </c>
      <c r="O8" s="19" t="str">
        <f>IFERROR(VLOOKUP(B8,#REF!,14,FALSE),"")</f>
        <v/>
      </c>
      <c r="P8" s="19" t="str">
        <f>IFERROR(VLOOKUP(B8,#REF!,15,FALSE),"")</f>
        <v/>
      </c>
      <c r="Q8" s="19"/>
      <c r="R8" s="25" t="str">
        <f>IFERROR(VLOOKUP(B8,#REF!,16,FALSE),"")</f>
        <v/>
      </c>
      <c r="S8" s="17">
        <v>0</v>
      </c>
      <c r="T8" s="17">
        <v>3434050</v>
      </c>
      <c r="U8" s="17">
        <v>0</v>
      </c>
      <c r="V8" s="17">
        <v>0</v>
      </c>
      <c r="W8" s="20">
        <v>11657050</v>
      </c>
      <c r="X8" s="16">
        <v>73</v>
      </c>
      <c r="Y8" s="21">
        <v>356.9</v>
      </c>
      <c r="Z8" s="20">
        <v>159750</v>
      </c>
      <c r="AA8" s="17">
        <v>32666</v>
      </c>
      <c r="AB8" s="22">
        <v>0.2</v>
      </c>
      <c r="AC8" s="23">
        <f t="shared" si="5"/>
        <v>50</v>
      </c>
      <c r="AD8" s="17">
        <v>30000</v>
      </c>
      <c r="AE8" s="17">
        <v>75000</v>
      </c>
      <c r="AF8" s="17">
        <v>204000</v>
      </c>
      <c r="AG8" s="17">
        <v>201000</v>
      </c>
      <c r="AH8" s="15" t="s">
        <v>42</v>
      </c>
    </row>
    <row r="9" spans="1:34">
      <c r="A9" s="13" t="str">
        <f t="shared" si="0"/>
        <v>OverStock</v>
      </c>
      <c r="B9" s="14" t="s">
        <v>488</v>
      </c>
      <c r="C9" s="15" t="s">
        <v>280</v>
      </c>
      <c r="D9" s="19">
        <f t="shared" si="1"/>
        <v>12.2</v>
      </c>
      <c r="E9" s="16">
        <f t="shared" si="2"/>
        <v>10.5</v>
      </c>
      <c r="F9" s="16">
        <f t="shared" si="3"/>
        <v>14.2</v>
      </c>
      <c r="G9" s="16">
        <f t="shared" si="4"/>
        <v>12.2</v>
      </c>
      <c r="H9" s="24" t="str">
        <f>IFERROR(VLOOKUP(B9,#REF!,8,FALSE),"")</f>
        <v/>
      </c>
      <c r="I9" s="17">
        <v>1605000</v>
      </c>
      <c r="J9" s="17">
        <v>930000</v>
      </c>
      <c r="K9" s="24" t="str">
        <f>IFERROR(VLOOKUP(B9,#REF!,11,FALSE),"")</f>
        <v/>
      </c>
      <c r="L9" s="17">
        <v>1380000</v>
      </c>
      <c r="M9" s="6" t="s">
        <v>748</v>
      </c>
      <c r="N9" s="18" t="str">
        <f>IFERROR(VLOOKUP(B9,#REF!,13,FALSE),"")</f>
        <v/>
      </c>
      <c r="O9" s="19" t="str">
        <f>IFERROR(VLOOKUP(B9,#REF!,14,FALSE),"")</f>
        <v/>
      </c>
      <c r="P9" s="19" t="str">
        <f>IFERROR(VLOOKUP(B9,#REF!,15,FALSE),"")</f>
        <v/>
      </c>
      <c r="Q9" s="19"/>
      <c r="R9" s="25" t="str">
        <f>IFERROR(VLOOKUP(B9,#REF!,16,FALSE),"")</f>
        <v/>
      </c>
      <c r="S9" s="17">
        <v>450000</v>
      </c>
      <c r="T9" s="17">
        <v>378000</v>
      </c>
      <c r="U9" s="17">
        <v>552000</v>
      </c>
      <c r="V9" s="17">
        <v>0</v>
      </c>
      <c r="W9" s="20">
        <v>2985000</v>
      </c>
      <c r="X9" s="16">
        <v>26.4</v>
      </c>
      <c r="Y9" s="21">
        <v>22.8</v>
      </c>
      <c r="Z9" s="20">
        <v>112875</v>
      </c>
      <c r="AA9" s="17">
        <v>131150</v>
      </c>
      <c r="AB9" s="22">
        <v>1.2</v>
      </c>
      <c r="AC9" s="23">
        <f t="shared" si="5"/>
        <v>100</v>
      </c>
      <c r="AD9" s="17">
        <v>139046</v>
      </c>
      <c r="AE9" s="17">
        <v>630548</v>
      </c>
      <c r="AF9" s="17">
        <v>414900</v>
      </c>
      <c r="AG9" s="17">
        <v>364100</v>
      </c>
      <c r="AH9" s="15" t="s">
        <v>42</v>
      </c>
    </row>
    <row r="10" spans="1:34">
      <c r="A10" s="13" t="str">
        <f t="shared" si="0"/>
        <v>OverStock</v>
      </c>
      <c r="B10" s="14" t="s">
        <v>740</v>
      </c>
      <c r="C10" s="15" t="s">
        <v>709</v>
      </c>
      <c r="D10" s="19">
        <f t="shared" si="1"/>
        <v>131.19999999999999</v>
      </c>
      <c r="E10" s="16">
        <f t="shared" si="2"/>
        <v>92.3</v>
      </c>
      <c r="F10" s="16">
        <f t="shared" si="3"/>
        <v>89.6</v>
      </c>
      <c r="G10" s="16">
        <f t="shared" si="4"/>
        <v>63</v>
      </c>
      <c r="H10" s="24" t="str">
        <f>IFERROR(VLOOKUP(B10,#REF!,8,FALSE),"")</f>
        <v/>
      </c>
      <c r="I10" s="17">
        <v>140000</v>
      </c>
      <c r="J10" s="17">
        <v>140000</v>
      </c>
      <c r="K10" s="24" t="str">
        <f>IFERROR(VLOOKUP(B10,#REF!,11,FALSE),"")</f>
        <v/>
      </c>
      <c r="L10" s="17">
        <v>205000</v>
      </c>
      <c r="M10" s="6" t="s">
        <v>752</v>
      </c>
      <c r="N10" s="18" t="str">
        <f>IFERROR(VLOOKUP(B10,#REF!,13,FALSE),"")</f>
        <v/>
      </c>
      <c r="O10" s="19" t="str">
        <f>IFERROR(VLOOKUP(B10,#REF!,14,FALSE),"")</f>
        <v/>
      </c>
      <c r="P10" s="19" t="str">
        <f>IFERROR(VLOOKUP(B10,#REF!,15,FALSE),"")</f>
        <v/>
      </c>
      <c r="Q10" s="19"/>
      <c r="R10" s="25" t="str">
        <f>IFERROR(VLOOKUP(B10,#REF!,16,FALSE),"")</f>
        <v/>
      </c>
      <c r="S10" s="17">
        <v>0</v>
      </c>
      <c r="T10" s="17">
        <v>205000</v>
      </c>
      <c r="U10" s="17">
        <v>0</v>
      </c>
      <c r="V10" s="17">
        <v>0</v>
      </c>
      <c r="W10" s="20">
        <v>345000</v>
      </c>
      <c r="X10" s="16">
        <v>220.7</v>
      </c>
      <c r="Y10" s="21">
        <v>155.30000000000001</v>
      </c>
      <c r="Z10" s="20">
        <v>1563</v>
      </c>
      <c r="AA10" s="17">
        <v>2222</v>
      </c>
      <c r="AB10" s="22">
        <v>1.4</v>
      </c>
      <c r="AC10" s="23">
        <f t="shared" si="5"/>
        <v>100</v>
      </c>
      <c r="AD10" s="17">
        <v>0</v>
      </c>
      <c r="AE10" s="17">
        <v>20000</v>
      </c>
      <c r="AF10" s="17">
        <v>15000</v>
      </c>
      <c r="AG10" s="17">
        <v>42500</v>
      </c>
      <c r="AH10" s="15" t="s">
        <v>42</v>
      </c>
    </row>
    <row r="11" spans="1:34">
      <c r="A11" s="13" t="str">
        <f t="shared" si="0"/>
        <v>OverStock</v>
      </c>
      <c r="B11" s="14" t="s">
        <v>497</v>
      </c>
      <c r="C11" s="15" t="s">
        <v>280</v>
      </c>
      <c r="D11" s="19">
        <f t="shared" si="1"/>
        <v>13</v>
      </c>
      <c r="E11" s="16">
        <f t="shared" si="2"/>
        <v>16</v>
      </c>
      <c r="F11" s="16">
        <f t="shared" si="3"/>
        <v>17.8</v>
      </c>
      <c r="G11" s="16">
        <f t="shared" si="4"/>
        <v>22</v>
      </c>
      <c r="H11" s="24" t="str">
        <f>IFERROR(VLOOKUP(B11,#REF!,8,FALSE),"")</f>
        <v/>
      </c>
      <c r="I11" s="17">
        <v>1440000</v>
      </c>
      <c r="J11" s="17">
        <v>915000</v>
      </c>
      <c r="K11" s="24" t="str">
        <f>IFERROR(VLOOKUP(B11,#REF!,11,FALSE),"")</f>
        <v/>
      </c>
      <c r="L11" s="17">
        <v>1050000</v>
      </c>
      <c r="M11" s="6" t="s">
        <v>748</v>
      </c>
      <c r="N11" s="18" t="str">
        <f>IFERROR(VLOOKUP(B11,#REF!,13,FALSE),"")</f>
        <v/>
      </c>
      <c r="O11" s="19" t="str">
        <f>IFERROR(VLOOKUP(B11,#REF!,14,FALSE),"")</f>
        <v/>
      </c>
      <c r="P11" s="19" t="str">
        <f>IFERROR(VLOOKUP(B11,#REF!,15,FALSE),"")</f>
        <v/>
      </c>
      <c r="Q11" s="19"/>
      <c r="R11" s="25" t="str">
        <f>IFERROR(VLOOKUP(B11,#REF!,16,FALSE),"")</f>
        <v/>
      </c>
      <c r="S11" s="17">
        <v>180000</v>
      </c>
      <c r="T11" s="17">
        <v>444000</v>
      </c>
      <c r="U11" s="17">
        <v>426000</v>
      </c>
      <c r="V11" s="17">
        <v>0</v>
      </c>
      <c r="W11" s="20">
        <v>2490000</v>
      </c>
      <c r="X11" s="16">
        <v>30.7</v>
      </c>
      <c r="Y11" s="21">
        <v>38</v>
      </c>
      <c r="Z11" s="20">
        <v>81000</v>
      </c>
      <c r="AA11" s="17">
        <v>65474</v>
      </c>
      <c r="AB11" s="22">
        <v>0.8</v>
      </c>
      <c r="AC11" s="23">
        <f t="shared" si="5"/>
        <v>100</v>
      </c>
      <c r="AD11" s="17">
        <v>77216</v>
      </c>
      <c r="AE11" s="17">
        <v>394874</v>
      </c>
      <c r="AF11" s="17">
        <v>138321</v>
      </c>
      <c r="AG11" s="17">
        <v>218900</v>
      </c>
      <c r="AH11" s="15" t="s">
        <v>42</v>
      </c>
    </row>
    <row r="12" spans="1:34">
      <c r="A12" s="13" t="str">
        <f t="shared" si="0"/>
        <v>OverStock</v>
      </c>
      <c r="B12" s="14" t="s">
        <v>495</v>
      </c>
      <c r="C12" s="15" t="s">
        <v>280</v>
      </c>
      <c r="D12" s="19">
        <f t="shared" si="1"/>
        <v>14.4</v>
      </c>
      <c r="E12" s="16">
        <f t="shared" si="2"/>
        <v>13.1</v>
      </c>
      <c r="F12" s="16">
        <f t="shared" si="3"/>
        <v>36.9</v>
      </c>
      <c r="G12" s="16">
        <f t="shared" si="4"/>
        <v>33.6</v>
      </c>
      <c r="H12" s="24" t="str">
        <f>IFERROR(VLOOKUP(B12,#REF!,8,FALSE),"")</f>
        <v/>
      </c>
      <c r="I12" s="17">
        <v>2142000</v>
      </c>
      <c r="J12" s="17">
        <v>1518000</v>
      </c>
      <c r="K12" s="24" t="str">
        <f>IFERROR(VLOOKUP(B12,#REF!,11,FALSE),"")</f>
        <v/>
      </c>
      <c r="L12" s="17">
        <v>837000</v>
      </c>
      <c r="M12" s="6" t="s">
        <v>748</v>
      </c>
      <c r="N12" s="18" t="str">
        <f>IFERROR(VLOOKUP(B12,#REF!,13,FALSE),"")</f>
        <v/>
      </c>
      <c r="O12" s="19" t="str">
        <f>IFERROR(VLOOKUP(B12,#REF!,14,FALSE),"")</f>
        <v/>
      </c>
      <c r="P12" s="19" t="str">
        <f>IFERROR(VLOOKUP(B12,#REF!,15,FALSE),"")</f>
        <v/>
      </c>
      <c r="Q12" s="19"/>
      <c r="R12" s="25" t="str">
        <f>IFERROR(VLOOKUP(B12,#REF!,16,FALSE),"")</f>
        <v/>
      </c>
      <c r="S12" s="17">
        <v>150000</v>
      </c>
      <c r="T12" s="17">
        <v>315000</v>
      </c>
      <c r="U12" s="17">
        <v>372000</v>
      </c>
      <c r="V12" s="17">
        <v>0</v>
      </c>
      <c r="W12" s="20">
        <v>2979000</v>
      </c>
      <c r="X12" s="16">
        <v>51.3</v>
      </c>
      <c r="Y12" s="21">
        <v>46.7</v>
      </c>
      <c r="Z12" s="20">
        <v>58125</v>
      </c>
      <c r="AA12" s="17">
        <v>63781</v>
      </c>
      <c r="AB12" s="22">
        <v>1.1000000000000001</v>
      </c>
      <c r="AC12" s="23">
        <f t="shared" si="5"/>
        <v>100</v>
      </c>
      <c r="AD12" s="17">
        <v>86929</v>
      </c>
      <c r="AE12" s="17">
        <v>378611</v>
      </c>
      <c r="AF12" s="17">
        <v>137027</v>
      </c>
      <c r="AG12" s="17">
        <v>212736</v>
      </c>
      <c r="AH12" s="15" t="s">
        <v>42</v>
      </c>
    </row>
    <row r="13" spans="1:34">
      <c r="A13" s="13" t="str">
        <f t="shared" si="0"/>
        <v>OverStock</v>
      </c>
      <c r="B13" s="14" t="s">
        <v>778</v>
      </c>
      <c r="C13" s="15" t="s">
        <v>280</v>
      </c>
      <c r="D13" s="19">
        <f t="shared" si="1"/>
        <v>91.2</v>
      </c>
      <c r="E13" s="16" t="str">
        <f t="shared" si="2"/>
        <v>--</v>
      </c>
      <c r="F13" s="16">
        <f t="shared" si="3"/>
        <v>19.5</v>
      </c>
      <c r="G13" s="16" t="str">
        <f t="shared" si="4"/>
        <v>--</v>
      </c>
      <c r="H13" s="24" t="str">
        <f>IFERROR(VLOOKUP(B13,#REF!,8,FALSE),"")</f>
        <v/>
      </c>
      <c r="I13" s="17">
        <v>315000</v>
      </c>
      <c r="J13" s="17">
        <v>315000</v>
      </c>
      <c r="K13" s="24" t="str">
        <f>IFERROR(VLOOKUP(B13,#REF!,11,FALSE),"")</f>
        <v/>
      </c>
      <c r="L13" s="17">
        <v>1470000</v>
      </c>
      <c r="M13" s="6" t="s">
        <v>758</v>
      </c>
      <c r="N13" s="18" t="str">
        <f>IFERROR(VLOOKUP(B13,#REF!,13,FALSE),"")</f>
        <v/>
      </c>
      <c r="O13" s="19" t="str">
        <f>IFERROR(VLOOKUP(B13,#REF!,14,FALSE),"")</f>
        <v/>
      </c>
      <c r="P13" s="19" t="str">
        <f>IFERROR(VLOOKUP(B13,#REF!,15,FALSE),"")</f>
        <v/>
      </c>
      <c r="Q13" s="19"/>
      <c r="R13" s="25" t="str">
        <f>IFERROR(VLOOKUP(B13,#REF!,16,FALSE),"")</f>
        <v/>
      </c>
      <c r="S13" s="17">
        <v>0</v>
      </c>
      <c r="T13" s="17">
        <v>1470000</v>
      </c>
      <c r="U13" s="17">
        <v>0</v>
      </c>
      <c r="V13" s="17">
        <v>0</v>
      </c>
      <c r="W13" s="20">
        <v>1785000</v>
      </c>
      <c r="X13" s="16">
        <v>110.7</v>
      </c>
      <c r="Y13" s="21" t="s">
        <v>40</v>
      </c>
      <c r="Z13" s="20">
        <v>16125</v>
      </c>
      <c r="AA13" s="17" t="s">
        <v>40</v>
      </c>
      <c r="AB13" s="22" t="s">
        <v>41</v>
      </c>
      <c r="AC13" s="23" t="str">
        <f t="shared" si="5"/>
        <v>E</v>
      </c>
      <c r="AD13" s="17">
        <v>0</v>
      </c>
      <c r="AE13" s="17">
        <v>0</v>
      </c>
      <c r="AF13" s="17">
        <v>0</v>
      </c>
      <c r="AG13" s="17">
        <v>0</v>
      </c>
      <c r="AH13" s="15" t="s">
        <v>42</v>
      </c>
    </row>
    <row r="14" spans="1:34">
      <c r="A14" s="13" t="str">
        <f t="shared" si="0"/>
        <v>OverStock</v>
      </c>
      <c r="B14" s="14" t="s">
        <v>455</v>
      </c>
      <c r="C14" s="15" t="s">
        <v>280</v>
      </c>
      <c r="D14" s="19">
        <f t="shared" si="1"/>
        <v>11.2</v>
      </c>
      <c r="E14" s="16">
        <f t="shared" si="2"/>
        <v>10.9</v>
      </c>
      <c r="F14" s="16">
        <f t="shared" si="3"/>
        <v>17.399999999999999</v>
      </c>
      <c r="G14" s="16">
        <f t="shared" si="4"/>
        <v>17</v>
      </c>
      <c r="H14" s="24" t="str">
        <f>IFERROR(VLOOKUP(B14,#REF!,8,FALSE),"")</f>
        <v/>
      </c>
      <c r="I14" s="17">
        <v>2570000</v>
      </c>
      <c r="J14" s="17">
        <v>150000</v>
      </c>
      <c r="K14" s="24" t="str">
        <f>IFERROR(VLOOKUP(B14,#REF!,11,FALSE),"")</f>
        <v/>
      </c>
      <c r="L14" s="17">
        <v>1645000</v>
      </c>
      <c r="M14" s="6" t="s">
        <v>748</v>
      </c>
      <c r="N14" s="18" t="str">
        <f>IFERROR(VLOOKUP(B14,#REF!,13,FALSE),"")</f>
        <v/>
      </c>
      <c r="O14" s="19" t="str">
        <f>IFERROR(VLOOKUP(B14,#REF!,14,FALSE),"")</f>
        <v/>
      </c>
      <c r="P14" s="19" t="str">
        <f>IFERROR(VLOOKUP(B14,#REF!,15,FALSE),"")</f>
        <v/>
      </c>
      <c r="Q14" s="19"/>
      <c r="R14" s="25" t="str">
        <f>IFERROR(VLOOKUP(B14,#REF!,16,FALSE),"")</f>
        <v/>
      </c>
      <c r="S14" s="17">
        <v>305000</v>
      </c>
      <c r="T14" s="17">
        <v>570000</v>
      </c>
      <c r="U14" s="17">
        <v>770000</v>
      </c>
      <c r="V14" s="17">
        <v>0</v>
      </c>
      <c r="W14" s="20">
        <v>4215000</v>
      </c>
      <c r="X14" s="16">
        <v>28.6</v>
      </c>
      <c r="Y14" s="21">
        <v>27.9</v>
      </c>
      <c r="Z14" s="20">
        <v>147500</v>
      </c>
      <c r="AA14" s="17">
        <v>151019</v>
      </c>
      <c r="AB14" s="22">
        <v>1</v>
      </c>
      <c r="AC14" s="23">
        <f t="shared" si="5"/>
        <v>100</v>
      </c>
      <c r="AD14" s="17">
        <v>179560</v>
      </c>
      <c r="AE14" s="17">
        <v>655500</v>
      </c>
      <c r="AF14" s="17">
        <v>566300</v>
      </c>
      <c r="AG14" s="17">
        <v>552400</v>
      </c>
      <c r="AH14" s="15" t="s">
        <v>42</v>
      </c>
    </row>
    <row r="15" spans="1:34">
      <c r="A15" s="13" t="str">
        <f t="shared" si="0"/>
        <v>OverStock</v>
      </c>
      <c r="B15" s="27" t="s">
        <v>779</v>
      </c>
      <c r="C15" s="15" t="s">
        <v>280</v>
      </c>
      <c r="D15" s="19">
        <f t="shared" si="1"/>
        <v>22.5</v>
      </c>
      <c r="E15" s="16" t="str">
        <f t="shared" si="2"/>
        <v>--</v>
      </c>
      <c r="F15" s="16">
        <f t="shared" si="3"/>
        <v>16.5</v>
      </c>
      <c r="G15" s="16" t="str">
        <f t="shared" si="4"/>
        <v>--</v>
      </c>
      <c r="H15" s="24" t="str">
        <f>IFERROR(VLOOKUP(B15,#REF!,8,FALSE),"")</f>
        <v/>
      </c>
      <c r="I15" s="17">
        <v>273000</v>
      </c>
      <c r="J15" s="17">
        <v>273000</v>
      </c>
      <c r="K15" s="24" t="str">
        <f>IFERROR(VLOOKUP(B15,#REF!,11,FALSE),"")</f>
        <v/>
      </c>
      <c r="L15" s="17">
        <v>372000</v>
      </c>
      <c r="M15" s="6" t="s">
        <v>752</v>
      </c>
      <c r="N15" s="18" t="str">
        <f>IFERROR(VLOOKUP(B15,#REF!,13,FALSE),"")</f>
        <v/>
      </c>
      <c r="O15" s="19" t="str">
        <f>IFERROR(VLOOKUP(B15,#REF!,14,FALSE),"")</f>
        <v/>
      </c>
      <c r="P15" s="19" t="str">
        <f>IFERROR(VLOOKUP(B15,#REF!,15,FALSE),"")</f>
        <v/>
      </c>
      <c r="Q15" s="19"/>
      <c r="R15" s="25" t="str">
        <f>IFERROR(VLOOKUP(B15,#REF!,16,FALSE),"")</f>
        <v/>
      </c>
      <c r="S15" s="17">
        <v>0</v>
      </c>
      <c r="T15" s="17">
        <v>372000</v>
      </c>
      <c r="U15" s="17">
        <v>0</v>
      </c>
      <c r="V15" s="17">
        <v>0</v>
      </c>
      <c r="W15" s="20">
        <v>645000</v>
      </c>
      <c r="X15" s="16">
        <v>39.1</v>
      </c>
      <c r="Y15" s="21" t="s">
        <v>40</v>
      </c>
      <c r="Z15" s="20">
        <v>16500</v>
      </c>
      <c r="AA15" s="17" t="s">
        <v>40</v>
      </c>
      <c r="AB15" s="22" t="s">
        <v>41</v>
      </c>
      <c r="AC15" s="23" t="str">
        <f t="shared" si="5"/>
        <v>E</v>
      </c>
      <c r="AD15" s="17">
        <v>0</v>
      </c>
      <c r="AE15" s="17">
        <v>0</v>
      </c>
      <c r="AF15" s="17">
        <v>0</v>
      </c>
      <c r="AG15" s="17">
        <v>0</v>
      </c>
      <c r="AH15" s="15" t="s">
        <v>42</v>
      </c>
    </row>
    <row r="16" spans="1:34">
      <c r="A16" s="13" t="str">
        <f t="shared" si="0"/>
        <v>OverStock</v>
      </c>
      <c r="B16" s="14" t="s">
        <v>94</v>
      </c>
      <c r="C16" s="15" t="s">
        <v>46</v>
      </c>
      <c r="D16" s="19">
        <f t="shared" si="1"/>
        <v>9.6</v>
      </c>
      <c r="E16" s="16">
        <f t="shared" si="2"/>
        <v>8.9</v>
      </c>
      <c r="F16" s="16">
        <f t="shared" si="3"/>
        <v>9.9</v>
      </c>
      <c r="G16" s="16">
        <f t="shared" si="4"/>
        <v>9.1</v>
      </c>
      <c r="H16" s="24" t="str">
        <f>IFERROR(VLOOKUP(B16,#REF!,8,FALSE),"")</f>
        <v/>
      </c>
      <c r="I16" s="17">
        <v>1050000</v>
      </c>
      <c r="J16" s="17">
        <v>600000</v>
      </c>
      <c r="K16" s="24" t="str">
        <f>IFERROR(VLOOKUP(B16,#REF!,11,FALSE),"")</f>
        <v/>
      </c>
      <c r="L16" s="17">
        <v>1022250</v>
      </c>
      <c r="M16" s="6" t="s">
        <v>745</v>
      </c>
      <c r="N16" s="18" t="str">
        <f>IFERROR(VLOOKUP(B16,#REF!,13,FALSE),"")</f>
        <v/>
      </c>
      <c r="O16" s="19" t="str">
        <f>IFERROR(VLOOKUP(B16,#REF!,14,FALSE),"")</f>
        <v/>
      </c>
      <c r="P16" s="19" t="str">
        <f>IFERROR(VLOOKUP(B16,#REF!,15,FALSE),"")</f>
        <v/>
      </c>
      <c r="Q16" s="19"/>
      <c r="R16" s="25" t="str">
        <f>IFERROR(VLOOKUP(B16,#REF!,16,FALSE),"")</f>
        <v/>
      </c>
      <c r="S16" s="17">
        <v>0</v>
      </c>
      <c r="T16" s="17">
        <v>1022250</v>
      </c>
      <c r="U16" s="17">
        <v>0</v>
      </c>
      <c r="V16" s="17">
        <v>0</v>
      </c>
      <c r="W16" s="20">
        <v>2072250</v>
      </c>
      <c r="X16" s="16">
        <v>19.5</v>
      </c>
      <c r="Y16" s="21">
        <v>18</v>
      </c>
      <c r="Z16" s="20">
        <v>106125</v>
      </c>
      <c r="AA16" s="17">
        <v>115000</v>
      </c>
      <c r="AB16" s="22">
        <v>1.1000000000000001</v>
      </c>
      <c r="AC16" s="23">
        <f t="shared" si="5"/>
        <v>100</v>
      </c>
      <c r="AD16" s="17">
        <v>18000</v>
      </c>
      <c r="AE16" s="17">
        <v>435000</v>
      </c>
      <c r="AF16" s="17">
        <v>660000</v>
      </c>
      <c r="AG16" s="17">
        <v>381000</v>
      </c>
      <c r="AH16" s="15" t="s">
        <v>42</v>
      </c>
    </row>
    <row r="17" spans="1:34">
      <c r="A17" s="13" t="str">
        <f t="shared" si="0"/>
        <v>OverStock</v>
      </c>
      <c r="B17" s="14" t="s">
        <v>330</v>
      </c>
      <c r="C17" s="15" t="s">
        <v>280</v>
      </c>
      <c r="D17" s="19">
        <f t="shared" si="1"/>
        <v>14.9</v>
      </c>
      <c r="E17" s="16">
        <f t="shared" si="2"/>
        <v>28026.3</v>
      </c>
      <c r="F17" s="16">
        <f t="shared" si="3"/>
        <v>14.7</v>
      </c>
      <c r="G17" s="16">
        <f t="shared" si="4"/>
        <v>27552.6</v>
      </c>
      <c r="H17" s="24" t="str">
        <f>IFERROR(VLOOKUP(B17,#REF!,8,FALSE),"")</f>
        <v/>
      </c>
      <c r="I17" s="17">
        <v>1047000</v>
      </c>
      <c r="J17" s="17">
        <v>369000</v>
      </c>
      <c r="K17" s="24" t="str">
        <f>IFERROR(VLOOKUP(B17,#REF!,11,FALSE),"")</f>
        <v/>
      </c>
      <c r="L17" s="17">
        <v>1065000</v>
      </c>
      <c r="M17" s="6" t="s">
        <v>748</v>
      </c>
      <c r="N17" s="18" t="str">
        <f>IFERROR(VLOOKUP(B17,#REF!,13,FALSE),"")</f>
        <v/>
      </c>
      <c r="O17" s="19" t="str">
        <f>IFERROR(VLOOKUP(B17,#REF!,14,FALSE),"")</f>
        <v/>
      </c>
      <c r="P17" s="19" t="str">
        <f>IFERROR(VLOOKUP(B17,#REF!,15,FALSE),"")</f>
        <v/>
      </c>
      <c r="Q17" s="19"/>
      <c r="R17" s="25" t="str">
        <f>IFERROR(VLOOKUP(B17,#REF!,16,FALSE),"")</f>
        <v/>
      </c>
      <c r="S17" s="17">
        <v>0</v>
      </c>
      <c r="T17" s="17">
        <v>1065000</v>
      </c>
      <c r="U17" s="17">
        <v>0</v>
      </c>
      <c r="V17" s="17">
        <v>0</v>
      </c>
      <c r="W17" s="20">
        <v>2112000</v>
      </c>
      <c r="X17" s="16">
        <v>29.6</v>
      </c>
      <c r="Y17" s="21">
        <v>55578.9</v>
      </c>
      <c r="Z17" s="20">
        <v>71250</v>
      </c>
      <c r="AA17" s="17">
        <v>38</v>
      </c>
      <c r="AB17" s="22">
        <v>0</v>
      </c>
      <c r="AC17" s="23">
        <f t="shared" si="5"/>
        <v>50</v>
      </c>
      <c r="AD17" s="17">
        <v>60</v>
      </c>
      <c r="AE17" s="17">
        <v>156</v>
      </c>
      <c r="AF17" s="17">
        <v>195</v>
      </c>
      <c r="AG17" s="17">
        <v>0</v>
      </c>
      <c r="AH17" s="15" t="s">
        <v>42</v>
      </c>
    </row>
    <row r="18" spans="1:34">
      <c r="A18" s="13" t="str">
        <f t="shared" si="0"/>
        <v>OverStock</v>
      </c>
      <c r="B18" s="14" t="s">
        <v>415</v>
      </c>
      <c r="C18" s="15" t="s">
        <v>280</v>
      </c>
      <c r="D18" s="19">
        <f t="shared" si="1"/>
        <v>248.1</v>
      </c>
      <c r="E18" s="16">
        <f t="shared" si="2"/>
        <v>12.6</v>
      </c>
      <c r="F18" s="16">
        <f t="shared" si="3"/>
        <v>1414.7</v>
      </c>
      <c r="G18" s="16">
        <f t="shared" si="4"/>
        <v>71.900000000000006</v>
      </c>
      <c r="H18" s="24" t="str">
        <f>IFERROR(VLOOKUP(B18,#REF!,8,FALSE),"")</f>
        <v/>
      </c>
      <c r="I18" s="17">
        <v>9549000</v>
      </c>
      <c r="J18" s="17">
        <v>1653000</v>
      </c>
      <c r="K18" s="24" t="str">
        <f>IFERROR(VLOOKUP(B18,#REF!,11,FALSE),"")</f>
        <v/>
      </c>
      <c r="L18" s="17">
        <v>1674555</v>
      </c>
      <c r="M18" s="6" t="s">
        <v>748</v>
      </c>
      <c r="N18" s="18" t="str">
        <f>IFERROR(VLOOKUP(B18,#REF!,13,FALSE),"")</f>
        <v/>
      </c>
      <c r="O18" s="19" t="str">
        <f>IFERROR(VLOOKUP(B18,#REF!,14,FALSE),"")</f>
        <v/>
      </c>
      <c r="P18" s="19" t="str">
        <f>IFERROR(VLOOKUP(B18,#REF!,15,FALSE),"")</f>
        <v/>
      </c>
      <c r="Q18" s="19"/>
      <c r="R18" s="25" t="str">
        <f>IFERROR(VLOOKUP(B18,#REF!,16,FALSE),"")</f>
        <v/>
      </c>
      <c r="S18" s="17">
        <v>450000</v>
      </c>
      <c r="T18" s="17">
        <v>465555</v>
      </c>
      <c r="U18" s="17">
        <v>759000</v>
      </c>
      <c r="V18" s="17">
        <v>0</v>
      </c>
      <c r="W18" s="20">
        <v>11223555</v>
      </c>
      <c r="X18" s="16">
        <v>1662.7</v>
      </c>
      <c r="Y18" s="21">
        <v>84.5</v>
      </c>
      <c r="Z18" s="20">
        <v>6750</v>
      </c>
      <c r="AA18" s="17">
        <v>132822</v>
      </c>
      <c r="AB18" s="22">
        <v>19.7</v>
      </c>
      <c r="AC18" s="23">
        <f t="shared" si="5"/>
        <v>150</v>
      </c>
      <c r="AD18" s="17">
        <v>94200</v>
      </c>
      <c r="AE18" s="17">
        <v>333495</v>
      </c>
      <c r="AF18" s="17">
        <v>767900</v>
      </c>
      <c r="AG18" s="17">
        <v>1057100</v>
      </c>
      <c r="AH18" s="15" t="s">
        <v>42</v>
      </c>
    </row>
    <row r="19" spans="1:34">
      <c r="A19" s="13" t="str">
        <f t="shared" si="0"/>
        <v>OverStock</v>
      </c>
      <c r="B19" s="14" t="s">
        <v>414</v>
      </c>
      <c r="C19" s="15" t="s">
        <v>280</v>
      </c>
      <c r="D19" s="19">
        <f t="shared" si="1"/>
        <v>247.5</v>
      </c>
      <c r="E19" s="16">
        <f t="shared" si="2"/>
        <v>12.3</v>
      </c>
      <c r="F19" s="16">
        <f t="shared" si="3"/>
        <v>1589.5</v>
      </c>
      <c r="G19" s="16">
        <f t="shared" si="4"/>
        <v>78.7</v>
      </c>
      <c r="H19" s="24" t="str">
        <f>IFERROR(VLOOKUP(B19,#REF!,8,FALSE),"")</f>
        <v/>
      </c>
      <c r="I19" s="17">
        <v>9537000</v>
      </c>
      <c r="J19" s="17">
        <v>1167000</v>
      </c>
      <c r="K19" s="24" t="str">
        <f>IFERROR(VLOOKUP(B19,#REF!,11,FALSE),"")</f>
        <v/>
      </c>
      <c r="L19" s="17">
        <v>1485000</v>
      </c>
      <c r="M19" s="6" t="s">
        <v>748</v>
      </c>
      <c r="N19" s="18" t="str">
        <f>IFERROR(VLOOKUP(B19,#REF!,13,FALSE),"")</f>
        <v/>
      </c>
      <c r="O19" s="19" t="str">
        <f>IFERROR(VLOOKUP(B19,#REF!,14,FALSE),"")</f>
        <v/>
      </c>
      <c r="P19" s="19" t="str">
        <f>IFERROR(VLOOKUP(B19,#REF!,15,FALSE),"")</f>
        <v/>
      </c>
      <c r="Q19" s="19"/>
      <c r="R19" s="25" t="str">
        <f>IFERROR(VLOOKUP(B19,#REF!,16,FALSE),"")</f>
        <v/>
      </c>
      <c r="S19" s="17">
        <v>240000</v>
      </c>
      <c r="T19" s="17">
        <v>828000</v>
      </c>
      <c r="U19" s="17">
        <v>417000</v>
      </c>
      <c r="V19" s="17">
        <v>0</v>
      </c>
      <c r="W19" s="20">
        <v>11022000</v>
      </c>
      <c r="X19" s="16">
        <v>1837</v>
      </c>
      <c r="Y19" s="21">
        <v>91</v>
      </c>
      <c r="Z19" s="20">
        <v>6000</v>
      </c>
      <c r="AA19" s="17">
        <v>121178</v>
      </c>
      <c r="AB19" s="22">
        <v>20.2</v>
      </c>
      <c r="AC19" s="23">
        <f t="shared" si="5"/>
        <v>150</v>
      </c>
      <c r="AD19" s="17">
        <v>67700</v>
      </c>
      <c r="AE19" s="17">
        <v>256100</v>
      </c>
      <c r="AF19" s="17">
        <v>767300</v>
      </c>
      <c r="AG19" s="17">
        <v>746500</v>
      </c>
      <c r="AH19" s="15" t="s">
        <v>42</v>
      </c>
    </row>
    <row r="20" spans="1:34">
      <c r="A20" s="13" t="str">
        <f t="shared" si="0"/>
        <v>OverStock</v>
      </c>
      <c r="B20" s="14" t="s">
        <v>50</v>
      </c>
      <c r="C20" s="15" t="s">
        <v>48</v>
      </c>
      <c r="D20" s="19">
        <f t="shared" si="1"/>
        <v>248</v>
      </c>
      <c r="E20" s="16" t="str">
        <f t="shared" si="2"/>
        <v>--</v>
      </c>
      <c r="F20" s="16">
        <f t="shared" si="3"/>
        <v>112</v>
      </c>
      <c r="G20" s="16" t="str">
        <f t="shared" si="4"/>
        <v>--</v>
      </c>
      <c r="H20" s="24" t="str">
        <f>IFERROR(VLOOKUP(B20,#REF!,8,FALSE),"")</f>
        <v/>
      </c>
      <c r="I20" s="17">
        <v>28000</v>
      </c>
      <c r="J20" s="17">
        <v>18000</v>
      </c>
      <c r="K20" s="24" t="str">
        <f>IFERROR(VLOOKUP(B20,#REF!,11,FALSE),"")</f>
        <v/>
      </c>
      <c r="L20" s="17">
        <v>62000</v>
      </c>
      <c r="M20" s="6" t="s">
        <v>743</v>
      </c>
      <c r="N20" s="18" t="str">
        <f>IFERROR(VLOOKUP(B20,#REF!,13,FALSE),"")</f>
        <v/>
      </c>
      <c r="O20" s="19" t="str">
        <f>IFERROR(VLOOKUP(B20,#REF!,14,FALSE),"")</f>
        <v/>
      </c>
      <c r="P20" s="19" t="str">
        <f>IFERROR(VLOOKUP(B20,#REF!,15,FALSE),"")</f>
        <v/>
      </c>
      <c r="Q20" s="19"/>
      <c r="R20" s="25" t="str">
        <f>IFERROR(VLOOKUP(B20,#REF!,16,FALSE),"")</f>
        <v/>
      </c>
      <c r="S20" s="17">
        <v>0</v>
      </c>
      <c r="T20" s="17">
        <v>62000</v>
      </c>
      <c r="U20" s="17">
        <v>0</v>
      </c>
      <c r="V20" s="17">
        <v>0</v>
      </c>
      <c r="W20" s="20">
        <v>90000</v>
      </c>
      <c r="X20" s="16">
        <v>360</v>
      </c>
      <c r="Y20" s="21" t="s">
        <v>40</v>
      </c>
      <c r="Z20" s="20">
        <v>250</v>
      </c>
      <c r="AA20" s="17" t="s">
        <v>40</v>
      </c>
      <c r="AB20" s="22" t="s">
        <v>41</v>
      </c>
      <c r="AC20" s="23" t="str">
        <f t="shared" si="5"/>
        <v>E</v>
      </c>
      <c r="AD20" s="17">
        <v>0</v>
      </c>
      <c r="AE20" s="17">
        <v>0</v>
      </c>
      <c r="AF20" s="17">
        <v>0</v>
      </c>
      <c r="AG20" s="17">
        <v>0</v>
      </c>
      <c r="AH20" s="15" t="s">
        <v>42</v>
      </c>
    </row>
    <row r="21" spans="1:34">
      <c r="A21" s="13" t="str">
        <f t="shared" si="0"/>
        <v>OverStock</v>
      </c>
      <c r="B21" s="14" t="s">
        <v>517</v>
      </c>
      <c r="C21" s="15" t="s">
        <v>280</v>
      </c>
      <c r="D21" s="19">
        <f t="shared" si="1"/>
        <v>12.8</v>
      </c>
      <c r="E21" s="16">
        <f t="shared" si="2"/>
        <v>11.1</v>
      </c>
      <c r="F21" s="16">
        <f t="shared" si="3"/>
        <v>18.899999999999999</v>
      </c>
      <c r="G21" s="16">
        <f t="shared" si="4"/>
        <v>16.3</v>
      </c>
      <c r="H21" s="24" t="str">
        <f>IFERROR(VLOOKUP(B21,#REF!,8,FALSE),"")</f>
        <v/>
      </c>
      <c r="I21" s="17">
        <v>4539000</v>
      </c>
      <c r="J21" s="17">
        <v>2607000</v>
      </c>
      <c r="K21" s="24" t="str">
        <f>IFERROR(VLOOKUP(B21,#REF!,11,FALSE),"")</f>
        <v/>
      </c>
      <c r="L21" s="17">
        <v>3080200</v>
      </c>
      <c r="M21" s="6" t="s">
        <v>748</v>
      </c>
      <c r="N21" s="18" t="str">
        <f>IFERROR(VLOOKUP(B21,#REF!,13,FALSE),"")</f>
        <v/>
      </c>
      <c r="O21" s="19" t="str">
        <f>IFERROR(VLOOKUP(B21,#REF!,14,FALSE),"")</f>
        <v/>
      </c>
      <c r="P21" s="19" t="str">
        <f>IFERROR(VLOOKUP(B21,#REF!,15,FALSE),"")</f>
        <v/>
      </c>
      <c r="Q21" s="19"/>
      <c r="R21" s="25" t="str">
        <f>IFERROR(VLOOKUP(B21,#REF!,16,FALSE),"")</f>
        <v/>
      </c>
      <c r="S21" s="17">
        <v>690000</v>
      </c>
      <c r="T21" s="17">
        <v>1109200</v>
      </c>
      <c r="U21" s="17">
        <v>1281000</v>
      </c>
      <c r="V21" s="17">
        <v>0</v>
      </c>
      <c r="W21" s="20">
        <v>7619200</v>
      </c>
      <c r="X21" s="16">
        <v>31.7</v>
      </c>
      <c r="Y21" s="21">
        <v>27.4</v>
      </c>
      <c r="Z21" s="20">
        <v>240000</v>
      </c>
      <c r="AA21" s="17">
        <v>277662</v>
      </c>
      <c r="AB21" s="22">
        <v>1.2</v>
      </c>
      <c r="AC21" s="23">
        <f t="shared" si="5"/>
        <v>100</v>
      </c>
      <c r="AD21" s="17">
        <v>457871</v>
      </c>
      <c r="AE21" s="17">
        <v>1366560</v>
      </c>
      <c r="AF21" s="17">
        <v>755600</v>
      </c>
      <c r="AG21" s="17">
        <v>602490</v>
      </c>
      <c r="AH21" s="15" t="s">
        <v>42</v>
      </c>
    </row>
    <row r="22" spans="1:34">
      <c r="A22" s="13" t="str">
        <f t="shared" si="0"/>
        <v>OverStock</v>
      </c>
      <c r="B22" s="14" t="s">
        <v>468</v>
      </c>
      <c r="C22" s="15" t="s">
        <v>280</v>
      </c>
      <c r="D22" s="19">
        <f t="shared" si="1"/>
        <v>9</v>
      </c>
      <c r="E22" s="16">
        <f t="shared" si="2"/>
        <v>8.1999999999999993</v>
      </c>
      <c r="F22" s="16">
        <f t="shared" si="3"/>
        <v>28.6</v>
      </c>
      <c r="G22" s="16">
        <f t="shared" si="4"/>
        <v>26</v>
      </c>
      <c r="H22" s="24" t="str">
        <f>IFERROR(VLOOKUP(B22,#REF!,8,FALSE),"")</f>
        <v/>
      </c>
      <c r="I22" s="17">
        <v>1895000</v>
      </c>
      <c r="J22" s="17">
        <v>555000</v>
      </c>
      <c r="K22" s="24" t="str">
        <f>IFERROR(VLOOKUP(B22,#REF!,11,FALSE),"")</f>
        <v/>
      </c>
      <c r="L22" s="17">
        <v>594000</v>
      </c>
      <c r="M22" s="6" t="s">
        <v>751</v>
      </c>
      <c r="N22" s="18" t="str">
        <f>IFERROR(VLOOKUP(B22,#REF!,13,FALSE),"")</f>
        <v/>
      </c>
      <c r="O22" s="19" t="str">
        <f>IFERROR(VLOOKUP(B22,#REF!,14,FALSE),"")</f>
        <v/>
      </c>
      <c r="P22" s="19" t="str">
        <f>IFERROR(VLOOKUP(B22,#REF!,15,FALSE),"")</f>
        <v/>
      </c>
      <c r="Q22" s="19"/>
      <c r="R22" s="25" t="str">
        <f>IFERROR(VLOOKUP(B22,#REF!,16,FALSE),"")</f>
        <v/>
      </c>
      <c r="S22" s="17">
        <v>0</v>
      </c>
      <c r="T22" s="17">
        <v>594000</v>
      </c>
      <c r="U22" s="17">
        <v>0</v>
      </c>
      <c r="V22" s="17">
        <v>0</v>
      </c>
      <c r="W22" s="20">
        <v>2489000</v>
      </c>
      <c r="X22" s="16">
        <v>37.6</v>
      </c>
      <c r="Y22" s="21">
        <v>34.200000000000003</v>
      </c>
      <c r="Z22" s="20">
        <v>66250</v>
      </c>
      <c r="AA22" s="17">
        <v>72778</v>
      </c>
      <c r="AB22" s="22">
        <v>1.1000000000000001</v>
      </c>
      <c r="AC22" s="23">
        <f t="shared" si="5"/>
        <v>100</v>
      </c>
      <c r="AD22" s="17">
        <v>135000</v>
      </c>
      <c r="AE22" s="17">
        <v>280000</v>
      </c>
      <c r="AF22" s="17">
        <v>240000</v>
      </c>
      <c r="AG22" s="17">
        <v>275000</v>
      </c>
      <c r="AH22" s="15" t="s">
        <v>42</v>
      </c>
    </row>
    <row r="23" spans="1:34">
      <c r="A23" s="13" t="str">
        <f t="shared" si="0"/>
        <v>OverStock</v>
      </c>
      <c r="B23" s="14" t="s">
        <v>131</v>
      </c>
      <c r="C23" s="15" t="s">
        <v>46</v>
      </c>
      <c r="D23" s="19">
        <f t="shared" si="1"/>
        <v>12.3</v>
      </c>
      <c r="E23" s="16">
        <f t="shared" si="2"/>
        <v>10.4</v>
      </c>
      <c r="F23" s="16">
        <f t="shared" si="3"/>
        <v>10.4</v>
      </c>
      <c r="G23" s="16">
        <f t="shared" si="4"/>
        <v>8.6999999999999993</v>
      </c>
      <c r="H23" s="24" t="str">
        <f>IFERROR(VLOOKUP(B23,#REF!,8,FALSE),"")</f>
        <v/>
      </c>
      <c r="I23" s="17">
        <v>591000</v>
      </c>
      <c r="J23" s="17">
        <v>0</v>
      </c>
      <c r="K23" s="24" t="str">
        <f>IFERROR(VLOOKUP(B23,#REF!,11,FALSE),"")</f>
        <v/>
      </c>
      <c r="L23" s="17">
        <v>703930</v>
      </c>
      <c r="M23" s="6" t="s">
        <v>745</v>
      </c>
      <c r="N23" s="18" t="str">
        <f>IFERROR(VLOOKUP(B23,#REF!,13,FALSE),"")</f>
        <v/>
      </c>
      <c r="O23" s="19" t="str">
        <f>IFERROR(VLOOKUP(B23,#REF!,14,FALSE),"")</f>
        <v/>
      </c>
      <c r="P23" s="19" t="str">
        <f>IFERROR(VLOOKUP(B23,#REF!,15,FALSE),"")</f>
        <v/>
      </c>
      <c r="Q23" s="19"/>
      <c r="R23" s="25" t="str">
        <f>IFERROR(VLOOKUP(B23,#REF!,16,FALSE),"")</f>
        <v/>
      </c>
      <c r="S23" s="17">
        <v>0</v>
      </c>
      <c r="T23" s="17">
        <v>703930</v>
      </c>
      <c r="U23" s="17">
        <v>0</v>
      </c>
      <c r="V23" s="17">
        <v>0</v>
      </c>
      <c r="W23" s="20">
        <v>1294930</v>
      </c>
      <c r="X23" s="16">
        <v>22.7</v>
      </c>
      <c r="Y23" s="21">
        <v>19.100000000000001</v>
      </c>
      <c r="Z23" s="20">
        <v>57000</v>
      </c>
      <c r="AA23" s="17">
        <v>67667</v>
      </c>
      <c r="AB23" s="22">
        <v>1.2</v>
      </c>
      <c r="AC23" s="23">
        <f t="shared" si="5"/>
        <v>100</v>
      </c>
      <c r="AD23" s="17">
        <v>0</v>
      </c>
      <c r="AE23" s="17">
        <v>357000</v>
      </c>
      <c r="AF23" s="17">
        <v>270000</v>
      </c>
      <c r="AG23" s="17">
        <v>33000</v>
      </c>
      <c r="AH23" s="15" t="s">
        <v>42</v>
      </c>
    </row>
    <row r="24" spans="1:34">
      <c r="A24" s="13" t="str">
        <f t="shared" si="0"/>
        <v>OverStock</v>
      </c>
      <c r="B24" s="14" t="s">
        <v>354</v>
      </c>
      <c r="C24" s="15" t="s">
        <v>280</v>
      </c>
      <c r="D24" s="19">
        <f t="shared" si="1"/>
        <v>24.8</v>
      </c>
      <c r="E24" s="16">
        <f t="shared" si="2"/>
        <v>18.2</v>
      </c>
      <c r="F24" s="16">
        <f t="shared" si="3"/>
        <v>29.7</v>
      </c>
      <c r="G24" s="16">
        <f t="shared" si="4"/>
        <v>21.9</v>
      </c>
      <c r="H24" s="24" t="str">
        <f>IFERROR(VLOOKUP(B24,#REF!,8,FALSE),"")</f>
        <v/>
      </c>
      <c r="I24" s="17">
        <v>1917000</v>
      </c>
      <c r="J24" s="17">
        <v>1014000</v>
      </c>
      <c r="K24" s="24" t="str">
        <f>IFERROR(VLOOKUP(B24,#REF!,11,FALSE),"")</f>
        <v/>
      </c>
      <c r="L24" s="17">
        <v>1598590</v>
      </c>
      <c r="M24" s="6" t="s">
        <v>758</v>
      </c>
      <c r="N24" s="18" t="str">
        <f>IFERROR(VLOOKUP(B24,#REF!,13,FALSE),"")</f>
        <v/>
      </c>
      <c r="O24" s="19" t="str">
        <f>IFERROR(VLOOKUP(B24,#REF!,14,FALSE),"")</f>
        <v/>
      </c>
      <c r="P24" s="19" t="str">
        <f>IFERROR(VLOOKUP(B24,#REF!,15,FALSE),"")</f>
        <v/>
      </c>
      <c r="Q24" s="19"/>
      <c r="R24" s="25" t="str">
        <f>IFERROR(VLOOKUP(B24,#REF!,16,FALSE),"")</f>
        <v/>
      </c>
      <c r="S24" s="17">
        <v>0</v>
      </c>
      <c r="T24" s="17">
        <v>1598590</v>
      </c>
      <c r="U24" s="17">
        <v>0</v>
      </c>
      <c r="V24" s="17">
        <v>0</v>
      </c>
      <c r="W24" s="20">
        <v>3515590</v>
      </c>
      <c r="X24" s="16">
        <v>54.5</v>
      </c>
      <c r="Y24" s="21">
        <v>40.1</v>
      </c>
      <c r="Z24" s="20">
        <v>64500</v>
      </c>
      <c r="AA24" s="17">
        <v>87667</v>
      </c>
      <c r="AB24" s="22">
        <v>1.4</v>
      </c>
      <c r="AC24" s="23">
        <f t="shared" si="5"/>
        <v>100</v>
      </c>
      <c r="AD24" s="17">
        <v>51000</v>
      </c>
      <c r="AE24" s="17">
        <v>480000</v>
      </c>
      <c r="AF24" s="17">
        <v>345000</v>
      </c>
      <c r="AG24" s="17">
        <v>288000</v>
      </c>
      <c r="AH24" s="15" t="s">
        <v>42</v>
      </c>
    </row>
    <row r="25" spans="1:34">
      <c r="A25" s="13" t="str">
        <f t="shared" si="0"/>
        <v>OverStock</v>
      </c>
      <c r="B25" s="14" t="s">
        <v>292</v>
      </c>
      <c r="C25" s="15" t="s">
        <v>280</v>
      </c>
      <c r="D25" s="19">
        <f t="shared" si="1"/>
        <v>34</v>
      </c>
      <c r="E25" s="16">
        <f t="shared" si="2"/>
        <v>22.3</v>
      </c>
      <c r="F25" s="16">
        <f t="shared" si="3"/>
        <v>19.399999999999999</v>
      </c>
      <c r="G25" s="16">
        <f t="shared" si="4"/>
        <v>12.7</v>
      </c>
      <c r="H25" s="24" t="str">
        <f>IFERROR(VLOOKUP(B25,#REF!,8,FALSE),"")</f>
        <v/>
      </c>
      <c r="I25" s="17">
        <v>1830000</v>
      </c>
      <c r="J25" s="17">
        <v>0</v>
      </c>
      <c r="K25" s="24" t="str">
        <f>IFERROR(VLOOKUP(B25,#REF!,11,FALSE),"")</f>
        <v/>
      </c>
      <c r="L25" s="17">
        <v>3210000</v>
      </c>
      <c r="M25" s="6" t="s">
        <v>748</v>
      </c>
      <c r="N25" s="18" t="str">
        <f>IFERROR(VLOOKUP(B25,#REF!,13,FALSE),"")</f>
        <v/>
      </c>
      <c r="O25" s="19" t="str">
        <f>IFERROR(VLOOKUP(B25,#REF!,14,FALSE),"")</f>
        <v/>
      </c>
      <c r="P25" s="19" t="str">
        <f>IFERROR(VLOOKUP(B25,#REF!,15,FALSE),"")</f>
        <v/>
      </c>
      <c r="Q25" s="19"/>
      <c r="R25" s="25" t="str">
        <f>IFERROR(VLOOKUP(B25,#REF!,16,FALSE),"")</f>
        <v/>
      </c>
      <c r="S25" s="17">
        <v>306000</v>
      </c>
      <c r="T25" s="17">
        <v>2268000</v>
      </c>
      <c r="U25" s="17">
        <v>636000</v>
      </c>
      <c r="V25" s="17">
        <v>0</v>
      </c>
      <c r="W25" s="20">
        <v>5040000</v>
      </c>
      <c r="X25" s="16">
        <v>53.3</v>
      </c>
      <c r="Y25" s="21">
        <v>35</v>
      </c>
      <c r="Z25" s="20">
        <v>94500</v>
      </c>
      <c r="AA25" s="17">
        <v>143986</v>
      </c>
      <c r="AB25" s="22">
        <v>1.5</v>
      </c>
      <c r="AC25" s="23">
        <f t="shared" si="5"/>
        <v>100</v>
      </c>
      <c r="AD25" s="17">
        <v>146611</v>
      </c>
      <c r="AE25" s="17">
        <v>625055</v>
      </c>
      <c r="AF25" s="17">
        <v>566000</v>
      </c>
      <c r="AG25" s="17">
        <v>487440</v>
      </c>
      <c r="AH25" s="15" t="s">
        <v>42</v>
      </c>
    </row>
    <row r="26" spans="1:34">
      <c r="A26" s="13" t="str">
        <f t="shared" si="0"/>
        <v>OverStock</v>
      </c>
      <c r="B26" s="14" t="s">
        <v>698</v>
      </c>
      <c r="C26" s="15" t="s">
        <v>277</v>
      </c>
      <c r="D26" s="19">
        <f t="shared" si="1"/>
        <v>22.3</v>
      </c>
      <c r="E26" s="16">
        <f t="shared" si="2"/>
        <v>9.6999999999999993</v>
      </c>
      <c r="F26" s="16">
        <f t="shared" si="3"/>
        <v>19.3</v>
      </c>
      <c r="G26" s="16">
        <f t="shared" si="4"/>
        <v>8.4</v>
      </c>
      <c r="H26" s="24" t="str">
        <f>IFERROR(VLOOKUP(B26,#REF!,8,FALSE),"")</f>
        <v/>
      </c>
      <c r="I26" s="17">
        <v>2170000</v>
      </c>
      <c r="J26" s="17">
        <v>900000</v>
      </c>
      <c r="K26" s="24" t="str">
        <f>IFERROR(VLOOKUP(B26,#REF!,11,FALSE),"")</f>
        <v/>
      </c>
      <c r="L26" s="17">
        <v>2510000</v>
      </c>
      <c r="M26" s="6" t="s">
        <v>760</v>
      </c>
      <c r="N26" s="18" t="str">
        <f>IFERROR(VLOOKUP(B26,#REF!,13,FALSE),"")</f>
        <v/>
      </c>
      <c r="O26" s="19" t="str">
        <f>IFERROR(VLOOKUP(B26,#REF!,14,FALSE),"")</f>
        <v/>
      </c>
      <c r="P26" s="19" t="str">
        <f>IFERROR(VLOOKUP(B26,#REF!,15,FALSE),"")</f>
        <v/>
      </c>
      <c r="Q26" s="19"/>
      <c r="R26" s="25" t="str">
        <f>IFERROR(VLOOKUP(B26,#REF!,16,FALSE),"")</f>
        <v/>
      </c>
      <c r="S26" s="17">
        <v>0</v>
      </c>
      <c r="T26" s="17">
        <v>2510000</v>
      </c>
      <c r="U26" s="17">
        <v>0</v>
      </c>
      <c r="V26" s="17">
        <v>0</v>
      </c>
      <c r="W26" s="20">
        <v>4680000</v>
      </c>
      <c r="X26" s="16">
        <v>41.6</v>
      </c>
      <c r="Y26" s="21">
        <v>18.100000000000001</v>
      </c>
      <c r="Z26" s="20">
        <v>112500</v>
      </c>
      <c r="AA26" s="17">
        <v>258308</v>
      </c>
      <c r="AB26" s="22">
        <v>2.2999999999999998</v>
      </c>
      <c r="AC26" s="23">
        <f t="shared" si="5"/>
        <v>150</v>
      </c>
      <c r="AD26" s="17">
        <v>360000</v>
      </c>
      <c r="AE26" s="17">
        <v>826200</v>
      </c>
      <c r="AF26" s="17">
        <v>1658568</v>
      </c>
      <c r="AG26" s="17">
        <v>2449992</v>
      </c>
      <c r="AH26" s="15" t="s">
        <v>42</v>
      </c>
    </row>
    <row r="27" spans="1:34">
      <c r="A27" s="13" t="str">
        <f t="shared" si="0"/>
        <v>OverStock</v>
      </c>
      <c r="B27" s="14" t="s">
        <v>296</v>
      </c>
      <c r="C27" s="15" t="s">
        <v>280</v>
      </c>
      <c r="D27" s="19">
        <f t="shared" si="1"/>
        <v>10.6</v>
      </c>
      <c r="E27" s="16">
        <f t="shared" si="2"/>
        <v>90</v>
      </c>
      <c r="F27" s="16">
        <f t="shared" si="3"/>
        <v>24.5</v>
      </c>
      <c r="G27" s="16">
        <f t="shared" si="4"/>
        <v>207.5</v>
      </c>
      <c r="H27" s="24" t="str">
        <f>IFERROR(VLOOKUP(B27,#REF!,8,FALSE),"")</f>
        <v/>
      </c>
      <c r="I27" s="17">
        <v>5187000</v>
      </c>
      <c r="J27" s="17">
        <v>2601000</v>
      </c>
      <c r="K27" s="24" t="str">
        <f>IFERROR(VLOOKUP(B27,#REF!,11,FALSE),"")</f>
        <v/>
      </c>
      <c r="L27" s="17">
        <v>2249450</v>
      </c>
      <c r="M27" s="6" t="s">
        <v>756</v>
      </c>
      <c r="N27" s="18" t="str">
        <f>IFERROR(VLOOKUP(B27,#REF!,13,FALSE),"")</f>
        <v/>
      </c>
      <c r="O27" s="19" t="str">
        <f>IFERROR(VLOOKUP(B27,#REF!,14,FALSE),"")</f>
        <v/>
      </c>
      <c r="P27" s="19" t="str">
        <f>IFERROR(VLOOKUP(B27,#REF!,15,FALSE),"")</f>
        <v/>
      </c>
      <c r="Q27" s="19"/>
      <c r="R27" s="25" t="str">
        <f>IFERROR(VLOOKUP(B27,#REF!,16,FALSE),"")</f>
        <v/>
      </c>
      <c r="S27" s="17">
        <v>0</v>
      </c>
      <c r="T27" s="17">
        <v>2249450</v>
      </c>
      <c r="U27" s="17">
        <v>0</v>
      </c>
      <c r="V27" s="17">
        <v>0</v>
      </c>
      <c r="W27" s="20">
        <v>7436450</v>
      </c>
      <c r="X27" s="16">
        <v>35.1</v>
      </c>
      <c r="Y27" s="21">
        <v>297.5</v>
      </c>
      <c r="Z27" s="20">
        <v>212125</v>
      </c>
      <c r="AA27" s="17">
        <v>25000</v>
      </c>
      <c r="AB27" s="22">
        <v>0.1</v>
      </c>
      <c r="AC27" s="23">
        <f t="shared" si="5"/>
        <v>50</v>
      </c>
      <c r="AD27" s="17">
        <v>0</v>
      </c>
      <c r="AE27" s="17">
        <v>51000</v>
      </c>
      <c r="AF27" s="17">
        <v>222000</v>
      </c>
      <c r="AG27" s="17">
        <v>162000</v>
      </c>
      <c r="AH27" s="15" t="s">
        <v>42</v>
      </c>
    </row>
    <row r="28" spans="1:34">
      <c r="A28" s="13" t="str">
        <f t="shared" si="0"/>
        <v>OverStock</v>
      </c>
      <c r="B28" s="14" t="s">
        <v>325</v>
      </c>
      <c r="C28" s="15" t="s">
        <v>280</v>
      </c>
      <c r="D28" s="19">
        <f t="shared" si="1"/>
        <v>11.4</v>
      </c>
      <c r="E28" s="16">
        <f t="shared" si="2"/>
        <v>12.6</v>
      </c>
      <c r="F28" s="16">
        <f t="shared" si="3"/>
        <v>23.5</v>
      </c>
      <c r="G28" s="16">
        <f t="shared" si="4"/>
        <v>26</v>
      </c>
      <c r="H28" s="24" t="str">
        <f>IFERROR(VLOOKUP(B28,#REF!,8,FALSE),"")</f>
        <v/>
      </c>
      <c r="I28" s="17">
        <v>1623000</v>
      </c>
      <c r="J28" s="17">
        <v>90000</v>
      </c>
      <c r="K28" s="24" t="str">
        <f>IFERROR(VLOOKUP(B28,#REF!,11,FALSE),"")</f>
        <v/>
      </c>
      <c r="L28" s="17">
        <v>789000</v>
      </c>
      <c r="M28" s="6" t="s">
        <v>748</v>
      </c>
      <c r="N28" s="18" t="str">
        <f>IFERROR(VLOOKUP(B28,#REF!,13,FALSE),"")</f>
        <v/>
      </c>
      <c r="O28" s="19" t="str">
        <f>IFERROR(VLOOKUP(B28,#REF!,14,FALSE),"")</f>
        <v/>
      </c>
      <c r="P28" s="19" t="str">
        <f>IFERROR(VLOOKUP(B28,#REF!,15,FALSE),"")</f>
        <v/>
      </c>
      <c r="Q28" s="19"/>
      <c r="R28" s="25" t="str">
        <f>IFERROR(VLOOKUP(B28,#REF!,16,FALSE),"")</f>
        <v/>
      </c>
      <c r="S28" s="17">
        <v>150000</v>
      </c>
      <c r="T28" s="17">
        <v>249000</v>
      </c>
      <c r="U28" s="17">
        <v>390000</v>
      </c>
      <c r="V28" s="17">
        <v>0</v>
      </c>
      <c r="W28" s="20">
        <v>2412000</v>
      </c>
      <c r="X28" s="16">
        <v>35</v>
      </c>
      <c r="Y28" s="21">
        <v>38.6</v>
      </c>
      <c r="Z28" s="20">
        <v>69000</v>
      </c>
      <c r="AA28" s="17">
        <v>62456</v>
      </c>
      <c r="AB28" s="22">
        <v>0.9</v>
      </c>
      <c r="AC28" s="23">
        <f t="shared" si="5"/>
        <v>100</v>
      </c>
      <c r="AD28" s="17">
        <v>84500</v>
      </c>
      <c r="AE28" s="17">
        <v>266100</v>
      </c>
      <c r="AF28" s="17">
        <v>232700</v>
      </c>
      <c r="AG28" s="17">
        <v>225900</v>
      </c>
      <c r="AH28" s="15" t="s">
        <v>42</v>
      </c>
    </row>
    <row r="29" spans="1:34">
      <c r="A29" s="13" t="str">
        <f t="shared" si="0"/>
        <v>ZeroZero</v>
      </c>
      <c r="B29" s="14" t="s">
        <v>203</v>
      </c>
      <c r="C29" s="15" t="s">
        <v>46</v>
      </c>
      <c r="D29" s="19" t="str">
        <f t="shared" si="1"/>
        <v>前八週無拉料</v>
      </c>
      <c r="E29" s="16" t="str">
        <f t="shared" si="2"/>
        <v>--</v>
      </c>
      <c r="F29" s="16" t="str">
        <f t="shared" si="3"/>
        <v>--</v>
      </c>
      <c r="G29" s="16" t="str">
        <f t="shared" si="4"/>
        <v>--</v>
      </c>
      <c r="H29" s="24" t="str">
        <f>IFERROR(VLOOKUP(B29,#REF!,8,FALSE),"")</f>
        <v/>
      </c>
      <c r="I29" s="17">
        <v>0</v>
      </c>
      <c r="J29" s="17">
        <v>0</v>
      </c>
      <c r="K29" s="24" t="str">
        <f>IFERROR(VLOOKUP(B29,#REF!,11,FALSE),"")</f>
        <v/>
      </c>
      <c r="L29" s="17">
        <v>120000</v>
      </c>
      <c r="M29" s="6" t="s">
        <v>745</v>
      </c>
      <c r="N29" s="18" t="str">
        <f>IFERROR(VLOOKUP(B29,#REF!,13,FALSE),"")</f>
        <v/>
      </c>
      <c r="O29" s="19" t="str">
        <f>IFERROR(VLOOKUP(B29,#REF!,14,FALSE),"")</f>
        <v/>
      </c>
      <c r="P29" s="19" t="str">
        <f>IFERROR(VLOOKUP(B29,#REF!,15,FALSE),"")</f>
        <v/>
      </c>
      <c r="Q29" s="19"/>
      <c r="R29" s="25" t="str">
        <f>IFERROR(VLOOKUP(B29,#REF!,16,FALSE),"")</f>
        <v/>
      </c>
      <c r="S29" s="17">
        <v>0</v>
      </c>
      <c r="T29" s="17">
        <v>120000</v>
      </c>
      <c r="U29" s="17">
        <v>0</v>
      </c>
      <c r="V29" s="17">
        <v>0</v>
      </c>
      <c r="W29" s="20">
        <v>120000</v>
      </c>
      <c r="X29" s="16" t="s">
        <v>40</v>
      </c>
      <c r="Y29" s="21" t="s">
        <v>40</v>
      </c>
      <c r="Z29" s="20">
        <v>0</v>
      </c>
      <c r="AA29" s="17" t="s">
        <v>40</v>
      </c>
      <c r="AB29" s="22" t="s">
        <v>41</v>
      </c>
      <c r="AC29" s="23" t="str">
        <f t="shared" si="5"/>
        <v>E</v>
      </c>
      <c r="AD29" s="17">
        <v>0</v>
      </c>
      <c r="AE29" s="17">
        <v>0</v>
      </c>
      <c r="AF29" s="17">
        <v>0</v>
      </c>
      <c r="AG29" s="17">
        <v>0</v>
      </c>
      <c r="AH29" s="15" t="s">
        <v>42</v>
      </c>
    </row>
    <row r="30" spans="1:34">
      <c r="A30" s="13" t="str">
        <f t="shared" si="0"/>
        <v>OverStock</v>
      </c>
      <c r="B30" s="14" t="s">
        <v>432</v>
      </c>
      <c r="C30" s="15" t="s">
        <v>280</v>
      </c>
      <c r="D30" s="19">
        <f t="shared" si="1"/>
        <v>28.1</v>
      </c>
      <c r="E30" s="16">
        <f t="shared" si="2"/>
        <v>26.1</v>
      </c>
      <c r="F30" s="16">
        <f t="shared" si="3"/>
        <v>22.7</v>
      </c>
      <c r="G30" s="16">
        <f t="shared" si="4"/>
        <v>21.1</v>
      </c>
      <c r="H30" s="24" t="str">
        <f>IFERROR(VLOOKUP(B30,#REF!,8,FALSE),"")</f>
        <v/>
      </c>
      <c r="I30" s="17">
        <v>630000</v>
      </c>
      <c r="J30" s="17">
        <v>369000</v>
      </c>
      <c r="K30" s="24" t="str">
        <f>IFERROR(VLOOKUP(B30,#REF!,11,FALSE),"")</f>
        <v/>
      </c>
      <c r="L30" s="17">
        <v>780000</v>
      </c>
      <c r="M30" s="6" t="s">
        <v>748</v>
      </c>
      <c r="N30" s="18" t="str">
        <f>IFERROR(VLOOKUP(B30,#REF!,13,FALSE),"")</f>
        <v/>
      </c>
      <c r="O30" s="19" t="str">
        <f>IFERROR(VLOOKUP(B30,#REF!,14,FALSE),"")</f>
        <v/>
      </c>
      <c r="P30" s="19" t="str">
        <f>IFERROR(VLOOKUP(B30,#REF!,15,FALSE),"")</f>
        <v/>
      </c>
      <c r="Q30" s="19"/>
      <c r="R30" s="25" t="str">
        <f>IFERROR(VLOOKUP(B30,#REF!,16,FALSE),"")</f>
        <v/>
      </c>
      <c r="S30" s="17">
        <v>0</v>
      </c>
      <c r="T30" s="17">
        <v>501000</v>
      </c>
      <c r="U30" s="17">
        <v>279000</v>
      </c>
      <c r="V30" s="17">
        <v>0</v>
      </c>
      <c r="W30" s="20">
        <v>1410000</v>
      </c>
      <c r="X30" s="16">
        <v>50.8</v>
      </c>
      <c r="Y30" s="21">
        <v>47.1</v>
      </c>
      <c r="Z30" s="20">
        <v>27750</v>
      </c>
      <c r="AA30" s="17">
        <v>29909</v>
      </c>
      <c r="AB30" s="22">
        <v>1.1000000000000001</v>
      </c>
      <c r="AC30" s="23">
        <f t="shared" si="5"/>
        <v>100</v>
      </c>
      <c r="AD30" s="17">
        <v>41700</v>
      </c>
      <c r="AE30" s="17">
        <v>145779</v>
      </c>
      <c r="AF30" s="17">
        <v>104800</v>
      </c>
      <c r="AG30" s="17">
        <v>127600</v>
      </c>
      <c r="AH30" s="15" t="s">
        <v>42</v>
      </c>
    </row>
    <row r="31" spans="1:34">
      <c r="A31" s="13" t="str">
        <f t="shared" si="0"/>
        <v>ZeroZero</v>
      </c>
      <c r="B31" s="14" t="s">
        <v>260</v>
      </c>
      <c r="C31" s="15" t="s">
        <v>255</v>
      </c>
      <c r="D31" s="19" t="str">
        <f t="shared" si="1"/>
        <v>前八週無拉料</v>
      </c>
      <c r="E31" s="16" t="str">
        <f t="shared" si="2"/>
        <v>--</v>
      </c>
      <c r="F31" s="16" t="str">
        <f t="shared" si="3"/>
        <v>--</v>
      </c>
      <c r="G31" s="16" t="str">
        <f t="shared" si="4"/>
        <v>--</v>
      </c>
      <c r="H31" s="24" t="str">
        <f>IFERROR(VLOOKUP(B31,#REF!,8,FALSE),"")</f>
        <v/>
      </c>
      <c r="I31" s="17">
        <v>0</v>
      </c>
      <c r="J31" s="17">
        <v>0</v>
      </c>
      <c r="K31" s="24" t="str">
        <f>IFERROR(VLOOKUP(B31,#REF!,11,FALSE),"")</f>
        <v/>
      </c>
      <c r="L31" s="17">
        <v>462000</v>
      </c>
      <c r="M31" s="6" t="s">
        <v>743</v>
      </c>
      <c r="N31" s="18" t="str">
        <f>IFERROR(VLOOKUP(B31,#REF!,13,FALSE),"")</f>
        <v/>
      </c>
      <c r="O31" s="19" t="str">
        <f>IFERROR(VLOOKUP(B31,#REF!,14,FALSE),"")</f>
        <v/>
      </c>
      <c r="P31" s="19" t="str">
        <f>IFERROR(VLOOKUP(B31,#REF!,15,FALSE),"")</f>
        <v/>
      </c>
      <c r="Q31" s="19"/>
      <c r="R31" s="25" t="str">
        <f>IFERROR(VLOOKUP(B31,#REF!,16,FALSE),"")</f>
        <v/>
      </c>
      <c r="S31" s="17">
        <v>0</v>
      </c>
      <c r="T31" s="17">
        <v>462000</v>
      </c>
      <c r="U31" s="17">
        <v>0</v>
      </c>
      <c r="V31" s="17">
        <v>0</v>
      </c>
      <c r="W31" s="20">
        <v>462000</v>
      </c>
      <c r="X31" s="16" t="s">
        <v>40</v>
      </c>
      <c r="Y31" s="21" t="s">
        <v>40</v>
      </c>
      <c r="Z31" s="20">
        <v>0</v>
      </c>
      <c r="AA31" s="17" t="s">
        <v>40</v>
      </c>
      <c r="AB31" s="22" t="s">
        <v>41</v>
      </c>
      <c r="AC31" s="23" t="str">
        <f t="shared" si="5"/>
        <v>E</v>
      </c>
      <c r="AD31" s="17">
        <v>0</v>
      </c>
      <c r="AE31" s="17">
        <v>0</v>
      </c>
      <c r="AF31" s="17">
        <v>0</v>
      </c>
      <c r="AG31" s="17">
        <v>0</v>
      </c>
      <c r="AH31" s="15" t="s">
        <v>42</v>
      </c>
    </row>
    <row r="32" spans="1:34">
      <c r="A32" s="13" t="str">
        <f t="shared" si="0"/>
        <v>OverStock</v>
      </c>
      <c r="B32" s="14" t="s">
        <v>147</v>
      </c>
      <c r="C32" s="15" t="s">
        <v>46</v>
      </c>
      <c r="D32" s="19">
        <f t="shared" si="1"/>
        <v>9.3000000000000007</v>
      </c>
      <c r="E32" s="16">
        <f t="shared" si="2"/>
        <v>16</v>
      </c>
      <c r="F32" s="16">
        <f t="shared" si="3"/>
        <v>8.1</v>
      </c>
      <c r="G32" s="16">
        <f t="shared" si="4"/>
        <v>14</v>
      </c>
      <c r="H32" s="24" t="str">
        <f>IFERROR(VLOOKUP(B32,#REF!,8,FALSE),"")</f>
        <v/>
      </c>
      <c r="I32" s="17">
        <v>210000</v>
      </c>
      <c r="J32" s="17">
        <v>210000</v>
      </c>
      <c r="K32" s="24" t="str">
        <f>IFERROR(VLOOKUP(B32,#REF!,11,FALSE),"")</f>
        <v/>
      </c>
      <c r="L32" s="17">
        <v>240000</v>
      </c>
      <c r="M32" s="6" t="s">
        <v>745</v>
      </c>
      <c r="N32" s="18" t="str">
        <f>IFERROR(VLOOKUP(B32,#REF!,13,FALSE),"")</f>
        <v/>
      </c>
      <c r="O32" s="19" t="str">
        <f>IFERROR(VLOOKUP(B32,#REF!,14,FALSE),"")</f>
        <v/>
      </c>
      <c r="P32" s="19" t="str">
        <f>IFERROR(VLOOKUP(B32,#REF!,15,FALSE),"")</f>
        <v/>
      </c>
      <c r="Q32" s="19"/>
      <c r="R32" s="25" t="str">
        <f>IFERROR(VLOOKUP(B32,#REF!,16,FALSE),"")</f>
        <v/>
      </c>
      <c r="S32" s="17">
        <v>0</v>
      </c>
      <c r="T32" s="17">
        <v>240000</v>
      </c>
      <c r="U32" s="17">
        <v>0</v>
      </c>
      <c r="V32" s="17">
        <v>0</v>
      </c>
      <c r="W32" s="20">
        <v>450000</v>
      </c>
      <c r="X32" s="16">
        <v>17.399999999999999</v>
      </c>
      <c r="Y32" s="21">
        <v>30</v>
      </c>
      <c r="Z32" s="20">
        <v>25875</v>
      </c>
      <c r="AA32" s="17">
        <v>15000</v>
      </c>
      <c r="AB32" s="22">
        <v>0.6</v>
      </c>
      <c r="AC32" s="23">
        <f t="shared" si="5"/>
        <v>100</v>
      </c>
      <c r="AD32" s="17">
        <v>0</v>
      </c>
      <c r="AE32" s="17">
        <v>99000</v>
      </c>
      <c r="AF32" s="17">
        <v>57000</v>
      </c>
      <c r="AG32" s="17">
        <v>21000</v>
      </c>
      <c r="AH32" s="15" t="s">
        <v>42</v>
      </c>
    </row>
    <row r="33" spans="1:34">
      <c r="A33" s="13" t="str">
        <f t="shared" si="0"/>
        <v>OverStock</v>
      </c>
      <c r="B33" s="14" t="s">
        <v>527</v>
      </c>
      <c r="C33" s="15" t="s">
        <v>522</v>
      </c>
      <c r="D33" s="19">
        <f t="shared" si="1"/>
        <v>20</v>
      </c>
      <c r="E33" s="16" t="str">
        <f t="shared" si="2"/>
        <v>--</v>
      </c>
      <c r="F33" s="16">
        <f t="shared" si="3"/>
        <v>32</v>
      </c>
      <c r="G33" s="16" t="str">
        <f t="shared" si="4"/>
        <v>--</v>
      </c>
      <c r="H33" s="24" t="str">
        <f>IFERROR(VLOOKUP(B33,#REF!,8,FALSE),"")</f>
        <v/>
      </c>
      <c r="I33" s="17">
        <v>64000</v>
      </c>
      <c r="J33" s="17">
        <v>64000</v>
      </c>
      <c r="K33" s="24" t="str">
        <f>IFERROR(VLOOKUP(B33,#REF!,11,FALSE),"")</f>
        <v/>
      </c>
      <c r="L33" s="17">
        <v>40000</v>
      </c>
      <c r="M33" s="6" t="s">
        <v>748</v>
      </c>
      <c r="N33" s="18" t="str">
        <f>IFERROR(VLOOKUP(B33,#REF!,13,FALSE),"")</f>
        <v/>
      </c>
      <c r="O33" s="19" t="str">
        <f>IFERROR(VLOOKUP(B33,#REF!,14,FALSE),"")</f>
        <v/>
      </c>
      <c r="P33" s="19" t="str">
        <f>IFERROR(VLOOKUP(B33,#REF!,15,FALSE),"")</f>
        <v/>
      </c>
      <c r="Q33" s="19"/>
      <c r="R33" s="25" t="str">
        <f>IFERROR(VLOOKUP(B33,#REF!,16,FALSE),"")</f>
        <v/>
      </c>
      <c r="S33" s="17">
        <v>0</v>
      </c>
      <c r="T33" s="17">
        <v>40000</v>
      </c>
      <c r="U33" s="17">
        <v>0</v>
      </c>
      <c r="V33" s="17">
        <v>0</v>
      </c>
      <c r="W33" s="20">
        <v>104000</v>
      </c>
      <c r="X33" s="16">
        <v>52</v>
      </c>
      <c r="Y33" s="21" t="s">
        <v>40</v>
      </c>
      <c r="Z33" s="20">
        <v>2000</v>
      </c>
      <c r="AA33" s="17" t="s">
        <v>40</v>
      </c>
      <c r="AB33" s="22" t="s">
        <v>41</v>
      </c>
      <c r="AC33" s="23" t="str">
        <f t="shared" si="5"/>
        <v>E</v>
      </c>
      <c r="AD33" s="17">
        <v>0</v>
      </c>
      <c r="AE33" s="17">
        <v>0</v>
      </c>
      <c r="AF33" s="17">
        <v>0</v>
      </c>
      <c r="AG33" s="17">
        <v>0</v>
      </c>
      <c r="AH33" s="15" t="s">
        <v>42</v>
      </c>
    </row>
    <row r="34" spans="1:34">
      <c r="A34" s="13" t="str">
        <f t="shared" si="0"/>
        <v>OverStock</v>
      </c>
      <c r="B34" s="14" t="s">
        <v>143</v>
      </c>
      <c r="C34" s="15" t="s">
        <v>46</v>
      </c>
      <c r="D34" s="19">
        <f t="shared" si="1"/>
        <v>38.5</v>
      </c>
      <c r="E34" s="16">
        <f t="shared" si="2"/>
        <v>18</v>
      </c>
      <c r="F34" s="16">
        <f t="shared" si="3"/>
        <v>21.6</v>
      </c>
      <c r="G34" s="16">
        <f t="shared" si="4"/>
        <v>10.1</v>
      </c>
      <c r="H34" s="24" t="str">
        <f>IFERROR(VLOOKUP(B34,#REF!,8,FALSE),"")</f>
        <v/>
      </c>
      <c r="I34" s="17">
        <v>300000</v>
      </c>
      <c r="J34" s="17">
        <v>0</v>
      </c>
      <c r="K34" s="24" t="str">
        <f>IFERROR(VLOOKUP(B34,#REF!,11,FALSE),"")</f>
        <v/>
      </c>
      <c r="L34" s="17">
        <v>534000</v>
      </c>
      <c r="M34" s="6" t="s">
        <v>745</v>
      </c>
      <c r="N34" s="18" t="str">
        <f>IFERROR(VLOOKUP(B34,#REF!,13,FALSE),"")</f>
        <v/>
      </c>
      <c r="O34" s="19" t="str">
        <f>IFERROR(VLOOKUP(B34,#REF!,14,FALSE),"")</f>
        <v/>
      </c>
      <c r="P34" s="19" t="str">
        <f>IFERROR(VLOOKUP(B34,#REF!,15,FALSE),"")</f>
        <v/>
      </c>
      <c r="Q34" s="19"/>
      <c r="R34" s="25" t="str">
        <f>IFERROR(VLOOKUP(B34,#REF!,16,FALSE),"")</f>
        <v/>
      </c>
      <c r="S34" s="17">
        <v>0</v>
      </c>
      <c r="T34" s="17">
        <v>534000</v>
      </c>
      <c r="U34" s="17">
        <v>0</v>
      </c>
      <c r="V34" s="17">
        <v>0</v>
      </c>
      <c r="W34" s="20">
        <v>834000</v>
      </c>
      <c r="X34" s="16">
        <v>60.1</v>
      </c>
      <c r="Y34" s="21">
        <v>28.1</v>
      </c>
      <c r="Z34" s="20">
        <v>13875</v>
      </c>
      <c r="AA34" s="17">
        <v>29667</v>
      </c>
      <c r="AB34" s="22">
        <v>2.1</v>
      </c>
      <c r="AC34" s="23">
        <f t="shared" si="5"/>
        <v>150</v>
      </c>
      <c r="AD34" s="17">
        <v>0</v>
      </c>
      <c r="AE34" s="17">
        <v>102000</v>
      </c>
      <c r="AF34" s="17">
        <v>210000</v>
      </c>
      <c r="AG34" s="17">
        <v>144000</v>
      </c>
      <c r="AH34" s="15" t="s">
        <v>42</v>
      </c>
    </row>
    <row r="35" spans="1:34">
      <c r="A35" s="13" t="str">
        <f t="shared" si="0"/>
        <v>OverStock</v>
      </c>
      <c r="B35" s="14" t="s">
        <v>444</v>
      </c>
      <c r="C35" s="15" t="s">
        <v>280</v>
      </c>
      <c r="D35" s="19">
        <f t="shared" si="1"/>
        <v>23.4</v>
      </c>
      <c r="E35" s="16">
        <f t="shared" si="2"/>
        <v>8.4</v>
      </c>
      <c r="F35" s="16">
        <f t="shared" si="3"/>
        <v>23.4</v>
      </c>
      <c r="G35" s="16">
        <f t="shared" si="4"/>
        <v>8.4</v>
      </c>
      <c r="H35" s="24" t="str">
        <f>IFERROR(VLOOKUP(B35,#REF!,8,FALSE),"")</f>
        <v/>
      </c>
      <c r="I35" s="17">
        <v>123000</v>
      </c>
      <c r="J35" s="17">
        <v>123000</v>
      </c>
      <c r="K35" s="24" t="str">
        <f>IFERROR(VLOOKUP(B35,#REF!,11,FALSE),"")</f>
        <v/>
      </c>
      <c r="L35" s="17">
        <v>123000</v>
      </c>
      <c r="M35" s="6" t="s">
        <v>748</v>
      </c>
      <c r="N35" s="18" t="str">
        <f>IFERROR(VLOOKUP(B35,#REF!,13,FALSE),"")</f>
        <v/>
      </c>
      <c r="O35" s="19" t="str">
        <f>IFERROR(VLOOKUP(B35,#REF!,14,FALSE),"")</f>
        <v/>
      </c>
      <c r="P35" s="19" t="str">
        <f>IFERROR(VLOOKUP(B35,#REF!,15,FALSE),"")</f>
        <v/>
      </c>
      <c r="Q35" s="19"/>
      <c r="R35" s="25" t="str">
        <f>IFERROR(VLOOKUP(B35,#REF!,16,FALSE),"")</f>
        <v/>
      </c>
      <c r="S35" s="17">
        <v>0</v>
      </c>
      <c r="T35" s="17">
        <v>48000</v>
      </c>
      <c r="U35" s="17">
        <v>75000</v>
      </c>
      <c r="V35" s="17">
        <v>0</v>
      </c>
      <c r="W35" s="20">
        <v>246000</v>
      </c>
      <c r="X35" s="16">
        <v>46.9</v>
      </c>
      <c r="Y35" s="21">
        <v>16.7</v>
      </c>
      <c r="Z35" s="20">
        <v>5250</v>
      </c>
      <c r="AA35" s="17">
        <v>14711</v>
      </c>
      <c r="AB35" s="22">
        <v>2.8</v>
      </c>
      <c r="AC35" s="23">
        <f t="shared" si="5"/>
        <v>150</v>
      </c>
      <c r="AD35" s="17">
        <v>14000</v>
      </c>
      <c r="AE35" s="17">
        <v>67200</v>
      </c>
      <c r="AF35" s="17">
        <v>51200</v>
      </c>
      <c r="AG35" s="17">
        <v>69600</v>
      </c>
      <c r="AH35" s="15" t="s">
        <v>42</v>
      </c>
    </row>
    <row r="36" spans="1:34">
      <c r="A36" s="13" t="str">
        <f t="shared" si="0"/>
        <v>OverStock</v>
      </c>
      <c r="B36" s="14" t="s">
        <v>123</v>
      </c>
      <c r="C36" s="15" t="s">
        <v>46</v>
      </c>
      <c r="D36" s="19">
        <f t="shared" si="1"/>
        <v>9.5</v>
      </c>
      <c r="E36" s="16">
        <f t="shared" si="2"/>
        <v>131.6</v>
      </c>
      <c r="F36" s="16">
        <f t="shared" si="3"/>
        <v>16</v>
      </c>
      <c r="G36" s="16">
        <f t="shared" si="4"/>
        <v>222</v>
      </c>
      <c r="H36" s="24" t="str">
        <f>IFERROR(VLOOKUP(B36,#REF!,8,FALSE),"")</f>
        <v/>
      </c>
      <c r="I36" s="17">
        <v>370000</v>
      </c>
      <c r="J36" s="17">
        <v>0</v>
      </c>
      <c r="K36" s="24" t="str">
        <f>IFERROR(VLOOKUP(B36,#REF!,11,FALSE),"")</f>
        <v/>
      </c>
      <c r="L36" s="17">
        <v>219420</v>
      </c>
      <c r="M36" s="6" t="s">
        <v>745</v>
      </c>
      <c r="N36" s="18" t="str">
        <f>IFERROR(VLOOKUP(B36,#REF!,13,FALSE),"")</f>
        <v/>
      </c>
      <c r="O36" s="19" t="str">
        <f>IFERROR(VLOOKUP(B36,#REF!,14,FALSE),"")</f>
        <v/>
      </c>
      <c r="P36" s="19" t="str">
        <f>IFERROR(VLOOKUP(B36,#REF!,15,FALSE),"")</f>
        <v/>
      </c>
      <c r="Q36" s="19"/>
      <c r="R36" s="25" t="str">
        <f>IFERROR(VLOOKUP(B36,#REF!,16,FALSE),"")</f>
        <v/>
      </c>
      <c r="S36" s="17">
        <v>0</v>
      </c>
      <c r="T36" s="17">
        <v>219420</v>
      </c>
      <c r="U36" s="17">
        <v>0</v>
      </c>
      <c r="V36" s="17">
        <v>0</v>
      </c>
      <c r="W36" s="20">
        <v>589420</v>
      </c>
      <c r="X36" s="16">
        <v>25.5</v>
      </c>
      <c r="Y36" s="21">
        <v>353.6</v>
      </c>
      <c r="Z36" s="20">
        <v>23125</v>
      </c>
      <c r="AA36" s="17">
        <v>1667</v>
      </c>
      <c r="AB36" s="22">
        <v>0.1</v>
      </c>
      <c r="AC36" s="23">
        <f t="shared" si="5"/>
        <v>50</v>
      </c>
      <c r="AD36" s="17">
        <v>5000</v>
      </c>
      <c r="AE36" s="17">
        <v>10000</v>
      </c>
      <c r="AF36" s="17">
        <v>5000</v>
      </c>
      <c r="AG36" s="17">
        <v>0</v>
      </c>
      <c r="AH36" s="15" t="s">
        <v>42</v>
      </c>
    </row>
    <row r="37" spans="1:34">
      <c r="A37" s="13" t="str">
        <f t="shared" si="0"/>
        <v>OverStock</v>
      </c>
      <c r="B37" s="14" t="s">
        <v>353</v>
      </c>
      <c r="C37" s="15" t="s">
        <v>280</v>
      </c>
      <c r="D37" s="19">
        <f t="shared" si="1"/>
        <v>150.1</v>
      </c>
      <c r="E37" s="16">
        <f t="shared" si="2"/>
        <v>38.5</v>
      </c>
      <c r="F37" s="16">
        <f t="shared" si="3"/>
        <v>170.3</v>
      </c>
      <c r="G37" s="16">
        <f t="shared" si="4"/>
        <v>43.7</v>
      </c>
      <c r="H37" s="24" t="str">
        <f>IFERROR(VLOOKUP(B37,#REF!,8,FALSE),"")</f>
        <v/>
      </c>
      <c r="I37" s="17">
        <v>1341000</v>
      </c>
      <c r="J37" s="17">
        <v>1341000</v>
      </c>
      <c r="K37" s="24" t="str">
        <f>IFERROR(VLOOKUP(B37,#REF!,11,FALSE),"")</f>
        <v/>
      </c>
      <c r="L37" s="17">
        <v>1182000</v>
      </c>
      <c r="M37" s="6" t="s">
        <v>751</v>
      </c>
      <c r="N37" s="18" t="str">
        <f>IFERROR(VLOOKUP(B37,#REF!,13,FALSE),"")</f>
        <v/>
      </c>
      <c r="O37" s="19" t="str">
        <f>IFERROR(VLOOKUP(B37,#REF!,14,FALSE),"")</f>
        <v/>
      </c>
      <c r="P37" s="19" t="str">
        <f>IFERROR(VLOOKUP(B37,#REF!,15,FALSE),"")</f>
        <v/>
      </c>
      <c r="Q37" s="19"/>
      <c r="R37" s="25" t="str">
        <f>IFERROR(VLOOKUP(B37,#REF!,16,FALSE),"")</f>
        <v/>
      </c>
      <c r="S37" s="17">
        <v>0</v>
      </c>
      <c r="T37" s="17">
        <v>1182000</v>
      </c>
      <c r="U37" s="17">
        <v>0</v>
      </c>
      <c r="V37" s="17">
        <v>0</v>
      </c>
      <c r="W37" s="20">
        <v>2523000</v>
      </c>
      <c r="X37" s="16">
        <v>320.39999999999998</v>
      </c>
      <c r="Y37" s="21">
        <v>82.3</v>
      </c>
      <c r="Z37" s="20">
        <v>7875</v>
      </c>
      <c r="AA37" s="17">
        <v>30667</v>
      </c>
      <c r="AB37" s="22">
        <v>3.9</v>
      </c>
      <c r="AC37" s="23">
        <f t="shared" si="5"/>
        <v>150</v>
      </c>
      <c r="AD37" s="17">
        <v>0</v>
      </c>
      <c r="AE37" s="17">
        <v>123000</v>
      </c>
      <c r="AF37" s="17">
        <v>153000</v>
      </c>
      <c r="AG37" s="17">
        <v>270000</v>
      </c>
      <c r="AH37" s="15" t="s">
        <v>42</v>
      </c>
    </row>
    <row r="38" spans="1:34">
      <c r="A38" s="13" t="str">
        <f t="shared" si="0"/>
        <v>OverStock</v>
      </c>
      <c r="B38" s="14" t="s">
        <v>138</v>
      </c>
      <c r="C38" s="15" t="s">
        <v>46</v>
      </c>
      <c r="D38" s="19">
        <f t="shared" si="1"/>
        <v>48.9</v>
      </c>
      <c r="E38" s="16">
        <f t="shared" si="2"/>
        <v>20.399999999999999</v>
      </c>
      <c r="F38" s="16">
        <f t="shared" si="3"/>
        <v>52.3</v>
      </c>
      <c r="G38" s="16">
        <f t="shared" si="4"/>
        <v>21.9</v>
      </c>
      <c r="H38" s="24" t="str">
        <f>IFERROR(VLOOKUP(B38,#REF!,8,FALSE),"")</f>
        <v/>
      </c>
      <c r="I38" s="17">
        <v>170000</v>
      </c>
      <c r="J38" s="17">
        <v>0</v>
      </c>
      <c r="K38" s="24" t="str">
        <f>IFERROR(VLOOKUP(B38,#REF!,11,FALSE),"")</f>
        <v/>
      </c>
      <c r="L38" s="17">
        <v>159000</v>
      </c>
      <c r="M38" s="6" t="s">
        <v>745</v>
      </c>
      <c r="N38" s="18" t="str">
        <f>IFERROR(VLOOKUP(B38,#REF!,13,FALSE),"")</f>
        <v/>
      </c>
      <c r="O38" s="19" t="str">
        <f>IFERROR(VLOOKUP(B38,#REF!,14,FALSE),"")</f>
        <v/>
      </c>
      <c r="P38" s="19" t="str">
        <f>IFERROR(VLOOKUP(B38,#REF!,15,FALSE),"")</f>
        <v/>
      </c>
      <c r="Q38" s="19"/>
      <c r="R38" s="25" t="str">
        <f>IFERROR(VLOOKUP(B38,#REF!,16,FALSE),"")</f>
        <v/>
      </c>
      <c r="S38" s="17">
        <v>0</v>
      </c>
      <c r="T38" s="17">
        <v>159000</v>
      </c>
      <c r="U38" s="17">
        <v>0</v>
      </c>
      <c r="V38" s="17">
        <v>0</v>
      </c>
      <c r="W38" s="20">
        <v>329000</v>
      </c>
      <c r="X38" s="16">
        <v>101.2</v>
      </c>
      <c r="Y38" s="21">
        <v>42.3</v>
      </c>
      <c r="Z38" s="20">
        <v>3250</v>
      </c>
      <c r="AA38" s="17">
        <v>7778</v>
      </c>
      <c r="AB38" s="22">
        <v>2.4</v>
      </c>
      <c r="AC38" s="23">
        <f t="shared" si="5"/>
        <v>150</v>
      </c>
      <c r="AD38" s="17">
        <v>5000</v>
      </c>
      <c r="AE38" s="17">
        <v>5000</v>
      </c>
      <c r="AF38" s="17">
        <v>65000</v>
      </c>
      <c r="AG38" s="17">
        <v>110000</v>
      </c>
      <c r="AH38" s="15" t="s">
        <v>42</v>
      </c>
    </row>
    <row r="39" spans="1:34">
      <c r="A39" s="13" t="str">
        <f t="shared" si="0"/>
        <v>FCST</v>
      </c>
      <c r="B39" s="14" t="s">
        <v>500</v>
      </c>
      <c r="C39" s="15" t="s">
        <v>280</v>
      </c>
      <c r="D39" s="19" t="str">
        <f t="shared" si="1"/>
        <v>前八週無拉料</v>
      </c>
      <c r="E39" s="16">
        <f t="shared" si="2"/>
        <v>8.6999999999999993</v>
      </c>
      <c r="F39" s="16" t="str">
        <f t="shared" si="3"/>
        <v>--</v>
      </c>
      <c r="G39" s="16">
        <f t="shared" si="4"/>
        <v>39.6</v>
      </c>
      <c r="H39" s="24" t="str">
        <f>IFERROR(VLOOKUP(B39,#REF!,8,FALSE),"")</f>
        <v/>
      </c>
      <c r="I39" s="17">
        <v>837000</v>
      </c>
      <c r="J39" s="17">
        <v>171000</v>
      </c>
      <c r="K39" s="24" t="str">
        <f>IFERROR(VLOOKUP(B39,#REF!,11,FALSE),"")</f>
        <v/>
      </c>
      <c r="L39" s="17">
        <v>183000</v>
      </c>
      <c r="M39" s="6" t="s">
        <v>748</v>
      </c>
      <c r="N39" s="18" t="str">
        <f>IFERROR(VLOOKUP(B39,#REF!,13,FALSE),"")</f>
        <v/>
      </c>
      <c r="O39" s="19" t="str">
        <f>IFERROR(VLOOKUP(B39,#REF!,14,FALSE),"")</f>
        <v/>
      </c>
      <c r="P39" s="19" t="str">
        <f>IFERROR(VLOOKUP(B39,#REF!,15,FALSE),"")</f>
        <v/>
      </c>
      <c r="Q39" s="19"/>
      <c r="R39" s="25" t="str">
        <f>IFERROR(VLOOKUP(B39,#REF!,16,FALSE),"")</f>
        <v/>
      </c>
      <c r="S39" s="17">
        <v>87000</v>
      </c>
      <c r="T39" s="17">
        <v>0</v>
      </c>
      <c r="U39" s="17">
        <v>96000</v>
      </c>
      <c r="V39" s="17">
        <v>0</v>
      </c>
      <c r="W39" s="20">
        <v>1020000</v>
      </c>
      <c r="X39" s="16" t="s">
        <v>40</v>
      </c>
      <c r="Y39" s="21">
        <v>48.2</v>
      </c>
      <c r="Z39" s="20">
        <v>0</v>
      </c>
      <c r="AA39" s="17">
        <v>21153</v>
      </c>
      <c r="AB39" s="22" t="s">
        <v>51</v>
      </c>
      <c r="AC39" s="23" t="str">
        <f t="shared" si="5"/>
        <v>F</v>
      </c>
      <c r="AD39" s="17">
        <v>0</v>
      </c>
      <c r="AE39" s="17">
        <v>91281</v>
      </c>
      <c r="AF39" s="17">
        <v>99100</v>
      </c>
      <c r="AG39" s="17">
        <v>119950</v>
      </c>
      <c r="AH39" s="15" t="s">
        <v>42</v>
      </c>
    </row>
    <row r="40" spans="1:34">
      <c r="A40" s="13" t="str">
        <f t="shared" si="0"/>
        <v>OverStock</v>
      </c>
      <c r="B40" s="14" t="s">
        <v>700</v>
      </c>
      <c r="C40" s="15" t="s">
        <v>277</v>
      </c>
      <c r="D40" s="19">
        <f t="shared" si="1"/>
        <v>19.899999999999999</v>
      </c>
      <c r="E40" s="16">
        <f t="shared" si="2"/>
        <v>24</v>
      </c>
      <c r="F40" s="16">
        <f t="shared" si="3"/>
        <v>18.3</v>
      </c>
      <c r="G40" s="16">
        <f t="shared" si="4"/>
        <v>22</v>
      </c>
      <c r="H40" s="24" t="str">
        <f>IFERROR(VLOOKUP(B40,#REF!,8,FALSE),"")</f>
        <v/>
      </c>
      <c r="I40" s="17">
        <v>1200000</v>
      </c>
      <c r="J40" s="17">
        <v>0</v>
      </c>
      <c r="K40" s="24" t="str">
        <f>IFERROR(VLOOKUP(B40,#REF!,11,FALSE),"")</f>
        <v/>
      </c>
      <c r="L40" s="17">
        <v>1305000</v>
      </c>
      <c r="M40" s="6" t="s">
        <v>752</v>
      </c>
      <c r="N40" s="18" t="str">
        <f>IFERROR(VLOOKUP(B40,#REF!,13,FALSE),"")</f>
        <v/>
      </c>
      <c r="O40" s="19" t="str">
        <f>IFERROR(VLOOKUP(B40,#REF!,14,FALSE),"")</f>
        <v/>
      </c>
      <c r="P40" s="19" t="str">
        <f>IFERROR(VLOOKUP(B40,#REF!,15,FALSE),"")</f>
        <v/>
      </c>
      <c r="Q40" s="19"/>
      <c r="R40" s="25" t="str">
        <f>IFERROR(VLOOKUP(B40,#REF!,16,FALSE),"")</f>
        <v/>
      </c>
      <c r="S40" s="17">
        <v>0</v>
      </c>
      <c r="T40" s="17">
        <v>1035000</v>
      </c>
      <c r="U40" s="17">
        <v>270000</v>
      </c>
      <c r="V40" s="17">
        <v>0</v>
      </c>
      <c r="W40" s="20">
        <v>2505000</v>
      </c>
      <c r="X40" s="16">
        <v>38.200000000000003</v>
      </c>
      <c r="Y40" s="21">
        <v>46</v>
      </c>
      <c r="Z40" s="20">
        <v>65625</v>
      </c>
      <c r="AA40" s="17">
        <v>54463</v>
      </c>
      <c r="AB40" s="22">
        <v>0.8</v>
      </c>
      <c r="AC40" s="23">
        <f t="shared" si="5"/>
        <v>100</v>
      </c>
      <c r="AD40" s="17">
        <v>88912</v>
      </c>
      <c r="AE40" s="17">
        <v>258419</v>
      </c>
      <c r="AF40" s="17">
        <v>298701</v>
      </c>
      <c r="AG40" s="17">
        <v>508954</v>
      </c>
      <c r="AH40" s="15" t="s">
        <v>42</v>
      </c>
    </row>
    <row r="41" spans="1:34">
      <c r="A41" s="13" t="str">
        <f t="shared" si="0"/>
        <v>OverStock</v>
      </c>
      <c r="B41" s="14" t="s">
        <v>470</v>
      </c>
      <c r="C41" s="15" t="s">
        <v>280</v>
      </c>
      <c r="D41" s="19">
        <f t="shared" si="1"/>
        <v>13.6</v>
      </c>
      <c r="E41" s="16">
        <f t="shared" si="2"/>
        <v>11.5</v>
      </c>
      <c r="F41" s="16">
        <f t="shared" si="3"/>
        <v>35.5</v>
      </c>
      <c r="G41" s="16">
        <f t="shared" si="4"/>
        <v>29.9</v>
      </c>
      <c r="H41" s="24" t="str">
        <f>IFERROR(VLOOKUP(B41,#REF!,8,FALSE),"")</f>
        <v/>
      </c>
      <c r="I41" s="17">
        <v>1330000</v>
      </c>
      <c r="J41" s="17">
        <v>105000</v>
      </c>
      <c r="K41" s="24" t="str">
        <f>IFERROR(VLOOKUP(B41,#REF!,11,FALSE),"")</f>
        <v/>
      </c>
      <c r="L41" s="17">
        <v>510000</v>
      </c>
      <c r="M41" s="6" t="s">
        <v>755</v>
      </c>
      <c r="N41" s="18" t="str">
        <f>IFERROR(VLOOKUP(B41,#REF!,13,FALSE),"")</f>
        <v/>
      </c>
      <c r="O41" s="19" t="str">
        <f>IFERROR(VLOOKUP(B41,#REF!,14,FALSE),"")</f>
        <v/>
      </c>
      <c r="P41" s="19" t="str">
        <f>IFERROR(VLOOKUP(B41,#REF!,15,FALSE),"")</f>
        <v/>
      </c>
      <c r="Q41" s="19"/>
      <c r="R41" s="25" t="str">
        <f>IFERROR(VLOOKUP(B41,#REF!,16,FALSE),"")</f>
        <v/>
      </c>
      <c r="S41" s="17">
        <v>0</v>
      </c>
      <c r="T41" s="17">
        <v>510000</v>
      </c>
      <c r="U41" s="17">
        <v>0</v>
      </c>
      <c r="V41" s="17">
        <v>0</v>
      </c>
      <c r="W41" s="20">
        <v>1840000</v>
      </c>
      <c r="X41" s="16">
        <v>49.1</v>
      </c>
      <c r="Y41" s="21">
        <v>41.4</v>
      </c>
      <c r="Z41" s="20">
        <v>37500</v>
      </c>
      <c r="AA41" s="17">
        <v>44444</v>
      </c>
      <c r="AB41" s="22">
        <v>1.2</v>
      </c>
      <c r="AC41" s="23">
        <f t="shared" si="5"/>
        <v>100</v>
      </c>
      <c r="AD41" s="17">
        <v>0</v>
      </c>
      <c r="AE41" s="17">
        <v>200000</v>
      </c>
      <c r="AF41" s="17">
        <v>200000</v>
      </c>
      <c r="AG41" s="17">
        <v>150000</v>
      </c>
      <c r="AH41" s="15" t="s">
        <v>42</v>
      </c>
    </row>
    <row r="42" spans="1:34">
      <c r="A42" s="13" t="str">
        <f t="shared" si="0"/>
        <v>OverStock</v>
      </c>
      <c r="B42" s="14" t="s">
        <v>95</v>
      </c>
      <c r="C42" s="15" t="s">
        <v>46</v>
      </c>
      <c r="D42" s="19">
        <f t="shared" si="1"/>
        <v>10.9</v>
      </c>
      <c r="E42" s="16">
        <f t="shared" si="2"/>
        <v>10.199999999999999</v>
      </c>
      <c r="F42" s="16">
        <f t="shared" si="3"/>
        <v>10.7</v>
      </c>
      <c r="G42" s="16">
        <f t="shared" si="4"/>
        <v>10.1</v>
      </c>
      <c r="H42" s="24" t="str">
        <f>IFERROR(VLOOKUP(B42,#REF!,8,FALSE),"")</f>
        <v/>
      </c>
      <c r="I42" s="17">
        <v>270000</v>
      </c>
      <c r="J42" s="17">
        <v>0</v>
      </c>
      <c r="K42" s="24" t="str">
        <f>IFERROR(VLOOKUP(B42,#REF!,11,FALSE),"")</f>
        <v/>
      </c>
      <c r="L42" s="17">
        <v>273000</v>
      </c>
      <c r="M42" s="6" t="s">
        <v>745</v>
      </c>
      <c r="N42" s="18" t="str">
        <f>IFERROR(VLOOKUP(B42,#REF!,13,FALSE),"")</f>
        <v/>
      </c>
      <c r="O42" s="19" t="str">
        <f>IFERROR(VLOOKUP(B42,#REF!,14,FALSE),"")</f>
        <v/>
      </c>
      <c r="P42" s="19" t="str">
        <f>IFERROR(VLOOKUP(B42,#REF!,15,FALSE),"")</f>
        <v/>
      </c>
      <c r="Q42" s="19"/>
      <c r="R42" s="25" t="str">
        <f>IFERROR(VLOOKUP(B42,#REF!,16,FALSE),"")</f>
        <v/>
      </c>
      <c r="S42" s="17">
        <v>0</v>
      </c>
      <c r="T42" s="17">
        <v>273000</v>
      </c>
      <c r="U42" s="17">
        <v>0</v>
      </c>
      <c r="V42" s="17">
        <v>0</v>
      </c>
      <c r="W42" s="20">
        <v>543000</v>
      </c>
      <c r="X42" s="16">
        <v>21.6</v>
      </c>
      <c r="Y42" s="21">
        <v>20.399999999999999</v>
      </c>
      <c r="Z42" s="20">
        <v>25125</v>
      </c>
      <c r="AA42" s="17">
        <v>26666</v>
      </c>
      <c r="AB42" s="22">
        <v>1.1000000000000001</v>
      </c>
      <c r="AC42" s="23">
        <f t="shared" si="5"/>
        <v>100</v>
      </c>
      <c r="AD42" s="17">
        <v>3000</v>
      </c>
      <c r="AE42" s="17">
        <v>122520</v>
      </c>
      <c r="AF42" s="17">
        <v>120480</v>
      </c>
      <c r="AG42" s="17">
        <v>54000</v>
      </c>
      <c r="AH42" s="15" t="s">
        <v>42</v>
      </c>
    </row>
    <row r="43" spans="1:34">
      <c r="A43" s="13" t="str">
        <f t="shared" si="0"/>
        <v>ZeroZero</v>
      </c>
      <c r="B43" s="14" t="s">
        <v>474</v>
      </c>
      <c r="C43" s="15" t="s">
        <v>280</v>
      </c>
      <c r="D43" s="19" t="str">
        <f t="shared" si="1"/>
        <v>前八週無拉料</v>
      </c>
      <c r="E43" s="16" t="str">
        <f t="shared" si="2"/>
        <v>--</v>
      </c>
      <c r="F43" s="16" t="str">
        <f t="shared" si="3"/>
        <v>--</v>
      </c>
      <c r="G43" s="16" t="str">
        <f t="shared" si="4"/>
        <v>--</v>
      </c>
      <c r="H43" s="24" t="str">
        <f>IFERROR(VLOOKUP(B43,#REF!,8,FALSE),"")</f>
        <v/>
      </c>
      <c r="I43" s="17">
        <v>69000</v>
      </c>
      <c r="J43" s="17">
        <v>0</v>
      </c>
      <c r="K43" s="24" t="str">
        <f>IFERROR(VLOOKUP(B43,#REF!,11,FALSE),"")</f>
        <v/>
      </c>
      <c r="L43" s="17">
        <v>102000</v>
      </c>
      <c r="M43" s="6" t="s">
        <v>752</v>
      </c>
      <c r="N43" s="18" t="str">
        <f>IFERROR(VLOOKUP(B43,#REF!,13,FALSE),"")</f>
        <v/>
      </c>
      <c r="O43" s="19" t="str">
        <f>IFERROR(VLOOKUP(B43,#REF!,14,FALSE),"")</f>
        <v/>
      </c>
      <c r="P43" s="19" t="str">
        <f>IFERROR(VLOOKUP(B43,#REF!,15,FALSE),"")</f>
        <v/>
      </c>
      <c r="Q43" s="19"/>
      <c r="R43" s="25" t="str">
        <f>IFERROR(VLOOKUP(B43,#REF!,16,FALSE),"")</f>
        <v/>
      </c>
      <c r="S43" s="17">
        <v>0</v>
      </c>
      <c r="T43" s="17">
        <v>102000</v>
      </c>
      <c r="U43" s="17">
        <v>0</v>
      </c>
      <c r="V43" s="17">
        <v>0</v>
      </c>
      <c r="W43" s="20">
        <v>171000</v>
      </c>
      <c r="X43" s="16" t="s">
        <v>40</v>
      </c>
      <c r="Y43" s="21" t="s">
        <v>40</v>
      </c>
      <c r="Z43" s="20">
        <v>0</v>
      </c>
      <c r="AA43" s="17" t="s">
        <v>40</v>
      </c>
      <c r="AB43" s="22" t="s">
        <v>41</v>
      </c>
      <c r="AC43" s="23" t="str">
        <f t="shared" si="5"/>
        <v>E</v>
      </c>
      <c r="AD43" s="17">
        <v>0</v>
      </c>
      <c r="AE43" s="17">
        <v>0</v>
      </c>
      <c r="AF43" s="17">
        <v>0</v>
      </c>
      <c r="AG43" s="17">
        <v>0</v>
      </c>
      <c r="AH43" s="15" t="s">
        <v>42</v>
      </c>
    </row>
    <row r="44" spans="1:34" s="41" customFormat="1">
      <c r="A44" s="28" t="str">
        <f t="shared" si="0"/>
        <v>ZeroZero</v>
      </c>
      <c r="B44" s="27" t="s">
        <v>274</v>
      </c>
      <c r="C44" s="29" t="s">
        <v>269</v>
      </c>
      <c r="D44" s="30" t="str">
        <f t="shared" si="1"/>
        <v>前八週無拉料</v>
      </c>
      <c r="E44" s="31" t="str">
        <f t="shared" si="2"/>
        <v>--</v>
      </c>
      <c r="F44" s="31" t="str">
        <f t="shared" si="3"/>
        <v>--</v>
      </c>
      <c r="G44" s="31" t="str">
        <f t="shared" si="4"/>
        <v>--</v>
      </c>
      <c r="H44" s="32" t="str">
        <f>IFERROR(VLOOKUP(B44,#REF!,8,FALSE),"")</f>
        <v/>
      </c>
      <c r="I44" s="33">
        <v>772000</v>
      </c>
      <c r="J44" s="33">
        <v>772000</v>
      </c>
      <c r="K44" s="32" t="str">
        <f>IFERROR(VLOOKUP(B44,#REF!,11,FALSE),"")</f>
        <v/>
      </c>
      <c r="L44" s="33">
        <v>391000</v>
      </c>
      <c r="M44" s="34" t="s">
        <v>747</v>
      </c>
      <c r="N44" s="35" t="str">
        <f>IFERROR(VLOOKUP(B44,#REF!,13,FALSE),"")</f>
        <v/>
      </c>
      <c r="O44" s="30" t="str">
        <f>IFERROR(VLOOKUP(B44,#REF!,14,FALSE),"")</f>
        <v/>
      </c>
      <c r="P44" s="30" t="str">
        <f>IFERROR(VLOOKUP(B44,#REF!,15,FALSE),"")</f>
        <v/>
      </c>
      <c r="Q44" s="30"/>
      <c r="R44" s="36" t="str">
        <f>IFERROR(VLOOKUP(B44,#REF!,16,FALSE),"")</f>
        <v/>
      </c>
      <c r="S44" s="33">
        <v>0</v>
      </c>
      <c r="T44" s="33">
        <v>391000</v>
      </c>
      <c r="U44" s="33">
        <v>0</v>
      </c>
      <c r="V44" s="33">
        <v>0</v>
      </c>
      <c r="W44" s="37">
        <v>1163000</v>
      </c>
      <c r="X44" s="31" t="s">
        <v>40</v>
      </c>
      <c r="Y44" s="38" t="s">
        <v>40</v>
      </c>
      <c r="Z44" s="37">
        <v>0</v>
      </c>
      <c r="AA44" s="33" t="s">
        <v>40</v>
      </c>
      <c r="AB44" s="39" t="s">
        <v>41</v>
      </c>
      <c r="AC44" s="40" t="str">
        <f t="shared" si="5"/>
        <v>E</v>
      </c>
      <c r="AD44" s="33">
        <v>0</v>
      </c>
      <c r="AE44" s="33">
        <v>0</v>
      </c>
      <c r="AF44" s="33">
        <v>0</v>
      </c>
      <c r="AG44" s="33">
        <v>0</v>
      </c>
      <c r="AH44" s="29" t="s">
        <v>42</v>
      </c>
    </row>
    <row r="45" spans="1:34">
      <c r="A45" s="13" t="str">
        <f t="shared" si="0"/>
        <v>FCST</v>
      </c>
      <c r="B45" s="14" t="s">
        <v>301</v>
      </c>
      <c r="C45" s="15" t="s">
        <v>280</v>
      </c>
      <c r="D45" s="19" t="str">
        <f t="shared" si="1"/>
        <v>前八週無拉料</v>
      </c>
      <c r="E45" s="16">
        <f t="shared" si="2"/>
        <v>95.8</v>
      </c>
      <c r="F45" s="16" t="str">
        <f t="shared" si="3"/>
        <v>--</v>
      </c>
      <c r="G45" s="16">
        <f t="shared" si="4"/>
        <v>148.69999999999999</v>
      </c>
      <c r="H45" s="24" t="str">
        <f>IFERROR(VLOOKUP(B45,#REF!,8,FALSE),"")</f>
        <v/>
      </c>
      <c r="I45" s="17">
        <v>1239000</v>
      </c>
      <c r="J45" s="17">
        <v>1239000</v>
      </c>
      <c r="K45" s="24" t="str">
        <f>IFERROR(VLOOKUP(B45,#REF!,11,FALSE),"")</f>
        <v/>
      </c>
      <c r="L45" s="17">
        <v>798000</v>
      </c>
      <c r="M45" s="6" t="s">
        <v>752</v>
      </c>
      <c r="N45" s="18" t="str">
        <f>IFERROR(VLOOKUP(B45,#REF!,13,FALSE),"")</f>
        <v/>
      </c>
      <c r="O45" s="19" t="str">
        <f>IFERROR(VLOOKUP(B45,#REF!,14,FALSE),"")</f>
        <v/>
      </c>
      <c r="P45" s="19" t="str">
        <f>IFERROR(VLOOKUP(B45,#REF!,15,FALSE),"")</f>
        <v/>
      </c>
      <c r="Q45" s="19"/>
      <c r="R45" s="25" t="str">
        <f>IFERROR(VLOOKUP(B45,#REF!,16,FALSE),"")</f>
        <v/>
      </c>
      <c r="S45" s="17">
        <v>0</v>
      </c>
      <c r="T45" s="17">
        <v>798000</v>
      </c>
      <c r="U45" s="17">
        <v>0</v>
      </c>
      <c r="V45" s="17">
        <v>0</v>
      </c>
      <c r="W45" s="20">
        <v>2037000</v>
      </c>
      <c r="X45" s="16" t="s">
        <v>40</v>
      </c>
      <c r="Y45" s="21">
        <v>244.4</v>
      </c>
      <c r="Z45" s="20">
        <v>0</v>
      </c>
      <c r="AA45" s="17">
        <v>8333</v>
      </c>
      <c r="AB45" s="22" t="s">
        <v>51</v>
      </c>
      <c r="AC45" s="23" t="str">
        <f t="shared" si="5"/>
        <v>F</v>
      </c>
      <c r="AD45" s="17">
        <v>0</v>
      </c>
      <c r="AE45" s="17">
        <v>60000</v>
      </c>
      <c r="AF45" s="17">
        <v>114000</v>
      </c>
      <c r="AG45" s="17">
        <v>0</v>
      </c>
      <c r="AH45" s="15" t="s">
        <v>42</v>
      </c>
    </row>
    <row r="46" spans="1:34">
      <c r="A46" s="13" t="str">
        <f t="shared" si="0"/>
        <v>ZeroZero</v>
      </c>
      <c r="B46" s="14" t="s">
        <v>636</v>
      </c>
      <c r="C46" s="15" t="s">
        <v>277</v>
      </c>
      <c r="D46" s="19" t="str">
        <f t="shared" si="1"/>
        <v>前八週無拉料</v>
      </c>
      <c r="E46" s="16" t="str">
        <f t="shared" si="2"/>
        <v>--</v>
      </c>
      <c r="F46" s="16" t="str">
        <f t="shared" si="3"/>
        <v>--</v>
      </c>
      <c r="G46" s="16" t="str">
        <f t="shared" si="4"/>
        <v>--</v>
      </c>
      <c r="H46" s="24" t="str">
        <f>IFERROR(VLOOKUP(B46,#REF!,8,FALSE),"")</f>
        <v/>
      </c>
      <c r="I46" s="17">
        <v>0</v>
      </c>
      <c r="J46" s="17">
        <v>0</v>
      </c>
      <c r="K46" s="24" t="str">
        <f>IFERROR(VLOOKUP(B46,#REF!,11,FALSE),"")</f>
        <v/>
      </c>
      <c r="L46" s="17">
        <v>57000</v>
      </c>
      <c r="M46" s="6" t="s">
        <v>761</v>
      </c>
      <c r="N46" s="18" t="str">
        <f>IFERROR(VLOOKUP(B46,#REF!,13,FALSE),"")</f>
        <v/>
      </c>
      <c r="O46" s="19" t="str">
        <f>IFERROR(VLOOKUP(B46,#REF!,14,FALSE),"")</f>
        <v/>
      </c>
      <c r="P46" s="19" t="str">
        <f>IFERROR(VLOOKUP(B46,#REF!,15,FALSE),"")</f>
        <v/>
      </c>
      <c r="Q46" s="19"/>
      <c r="R46" s="25" t="str">
        <f>IFERROR(VLOOKUP(B46,#REF!,16,FALSE),"")</f>
        <v/>
      </c>
      <c r="S46" s="17">
        <v>0</v>
      </c>
      <c r="T46" s="17">
        <v>57000</v>
      </c>
      <c r="U46" s="17">
        <v>0</v>
      </c>
      <c r="V46" s="17">
        <v>0</v>
      </c>
      <c r="W46" s="20">
        <v>57000</v>
      </c>
      <c r="X46" s="16" t="s">
        <v>40</v>
      </c>
      <c r="Y46" s="21" t="s">
        <v>40</v>
      </c>
      <c r="Z46" s="20">
        <v>0</v>
      </c>
      <c r="AA46" s="17" t="s">
        <v>40</v>
      </c>
      <c r="AB46" s="22" t="s">
        <v>41</v>
      </c>
      <c r="AC46" s="23" t="str">
        <f t="shared" si="5"/>
        <v>E</v>
      </c>
      <c r="AD46" s="17">
        <v>0</v>
      </c>
      <c r="AE46" s="17">
        <v>0</v>
      </c>
      <c r="AF46" s="17">
        <v>0</v>
      </c>
      <c r="AG46" s="17">
        <v>0</v>
      </c>
      <c r="AH46" s="15" t="s">
        <v>42</v>
      </c>
    </row>
    <row r="47" spans="1:34">
      <c r="A47" s="13" t="str">
        <f t="shared" si="0"/>
        <v>ZeroZero</v>
      </c>
      <c r="B47" s="14" t="s">
        <v>610</v>
      </c>
      <c r="C47" s="15" t="s">
        <v>608</v>
      </c>
      <c r="D47" s="19" t="str">
        <f t="shared" si="1"/>
        <v>前八週無拉料</v>
      </c>
      <c r="E47" s="16" t="str">
        <f t="shared" si="2"/>
        <v>--</v>
      </c>
      <c r="F47" s="16" t="str">
        <f t="shared" si="3"/>
        <v>--</v>
      </c>
      <c r="G47" s="16" t="str">
        <f t="shared" si="4"/>
        <v>--</v>
      </c>
      <c r="H47" s="24" t="str">
        <f>IFERROR(VLOOKUP(B47,#REF!,8,FALSE),"")</f>
        <v/>
      </c>
      <c r="I47" s="17">
        <v>70000</v>
      </c>
      <c r="J47" s="17">
        <v>0</v>
      </c>
      <c r="K47" s="24" t="str">
        <f>IFERROR(VLOOKUP(B47,#REF!,11,FALSE),"")</f>
        <v/>
      </c>
      <c r="L47" s="17">
        <v>95000</v>
      </c>
      <c r="M47" s="6" t="s">
        <v>758</v>
      </c>
      <c r="N47" s="18" t="str">
        <f>IFERROR(VLOOKUP(B47,#REF!,13,FALSE),"")</f>
        <v/>
      </c>
      <c r="O47" s="19" t="str">
        <f>IFERROR(VLOOKUP(B47,#REF!,14,FALSE),"")</f>
        <v/>
      </c>
      <c r="P47" s="19" t="str">
        <f>IFERROR(VLOOKUP(B47,#REF!,15,FALSE),"")</f>
        <v/>
      </c>
      <c r="Q47" s="19"/>
      <c r="R47" s="25" t="str">
        <f>IFERROR(VLOOKUP(B47,#REF!,16,FALSE),"")</f>
        <v/>
      </c>
      <c r="S47" s="17">
        <v>0</v>
      </c>
      <c r="T47" s="17">
        <v>95000</v>
      </c>
      <c r="U47" s="17">
        <v>0</v>
      </c>
      <c r="V47" s="17">
        <v>0</v>
      </c>
      <c r="W47" s="20">
        <v>165000</v>
      </c>
      <c r="X47" s="16" t="s">
        <v>40</v>
      </c>
      <c r="Y47" s="21" t="s">
        <v>40</v>
      </c>
      <c r="Z47" s="20">
        <v>0</v>
      </c>
      <c r="AA47" s="17" t="s">
        <v>40</v>
      </c>
      <c r="AB47" s="22" t="s">
        <v>41</v>
      </c>
      <c r="AC47" s="23" t="str">
        <f t="shared" si="5"/>
        <v>E</v>
      </c>
      <c r="AD47" s="17">
        <v>0</v>
      </c>
      <c r="AE47" s="17">
        <v>0</v>
      </c>
      <c r="AF47" s="17">
        <v>0</v>
      </c>
      <c r="AG47" s="17">
        <v>0</v>
      </c>
      <c r="AH47" s="15" t="s">
        <v>42</v>
      </c>
    </row>
    <row r="48" spans="1:34">
      <c r="A48" s="13" t="str">
        <f t="shared" si="0"/>
        <v>OverStock</v>
      </c>
      <c r="B48" s="14" t="s">
        <v>445</v>
      </c>
      <c r="C48" s="15" t="s">
        <v>280</v>
      </c>
      <c r="D48" s="19">
        <f t="shared" si="1"/>
        <v>25</v>
      </c>
      <c r="E48" s="16">
        <f t="shared" si="2"/>
        <v>23.1</v>
      </c>
      <c r="F48" s="16">
        <f t="shared" si="3"/>
        <v>10</v>
      </c>
      <c r="G48" s="16">
        <f t="shared" si="4"/>
        <v>9.3000000000000007</v>
      </c>
      <c r="H48" s="24" t="str">
        <f>IFERROR(VLOOKUP(B48,#REF!,8,FALSE),"")</f>
        <v/>
      </c>
      <c r="I48" s="17">
        <v>30000</v>
      </c>
      <c r="J48" s="17">
        <v>27000</v>
      </c>
      <c r="K48" s="24" t="str">
        <f>IFERROR(VLOOKUP(B48,#REF!,11,FALSE),"")</f>
        <v/>
      </c>
      <c r="L48" s="17">
        <v>75000</v>
      </c>
      <c r="M48" s="6" t="s">
        <v>748</v>
      </c>
      <c r="N48" s="18" t="str">
        <f>IFERROR(VLOOKUP(B48,#REF!,13,FALSE),"")</f>
        <v/>
      </c>
      <c r="O48" s="19" t="str">
        <f>IFERROR(VLOOKUP(B48,#REF!,14,FALSE),"")</f>
        <v/>
      </c>
      <c r="P48" s="19" t="str">
        <f>IFERROR(VLOOKUP(B48,#REF!,15,FALSE),"")</f>
        <v/>
      </c>
      <c r="Q48" s="19"/>
      <c r="R48" s="25" t="str">
        <f>IFERROR(VLOOKUP(B48,#REF!,16,FALSE),"")</f>
        <v/>
      </c>
      <c r="S48" s="17">
        <v>0</v>
      </c>
      <c r="T48" s="17">
        <v>57000</v>
      </c>
      <c r="U48" s="17">
        <v>18000</v>
      </c>
      <c r="V48" s="17">
        <v>0</v>
      </c>
      <c r="W48" s="20">
        <v>105000</v>
      </c>
      <c r="X48" s="16">
        <v>35</v>
      </c>
      <c r="Y48" s="21">
        <v>32.4</v>
      </c>
      <c r="Z48" s="20">
        <v>3000</v>
      </c>
      <c r="AA48" s="17">
        <v>3241</v>
      </c>
      <c r="AB48" s="22">
        <v>1.1000000000000001</v>
      </c>
      <c r="AC48" s="23">
        <f t="shared" si="5"/>
        <v>100</v>
      </c>
      <c r="AD48" s="17">
        <v>0</v>
      </c>
      <c r="AE48" s="17">
        <v>16368</v>
      </c>
      <c r="AF48" s="17">
        <v>12800</v>
      </c>
      <c r="AG48" s="17">
        <v>17400</v>
      </c>
      <c r="AH48" s="15" t="s">
        <v>42</v>
      </c>
    </row>
    <row r="49" spans="1:34">
      <c r="A49" s="13" t="str">
        <f t="shared" si="0"/>
        <v>ZeroZero</v>
      </c>
      <c r="B49" s="14" t="s">
        <v>137</v>
      </c>
      <c r="C49" s="15" t="s">
        <v>46</v>
      </c>
      <c r="D49" s="19" t="str">
        <f t="shared" si="1"/>
        <v>前八週無拉料</v>
      </c>
      <c r="E49" s="16" t="str">
        <f t="shared" si="2"/>
        <v>--</v>
      </c>
      <c r="F49" s="16" t="str">
        <f t="shared" si="3"/>
        <v>--</v>
      </c>
      <c r="G49" s="16" t="str">
        <f t="shared" si="4"/>
        <v>--</v>
      </c>
      <c r="H49" s="24" t="str">
        <f>IFERROR(VLOOKUP(B49,#REF!,8,FALSE),"")</f>
        <v/>
      </c>
      <c r="I49" s="17">
        <v>0</v>
      </c>
      <c r="J49" s="17">
        <v>0</v>
      </c>
      <c r="K49" s="24" t="str">
        <f>IFERROR(VLOOKUP(B49,#REF!,11,FALSE),"")</f>
        <v/>
      </c>
      <c r="L49" s="17">
        <v>110000</v>
      </c>
      <c r="M49" s="6" t="s">
        <v>745</v>
      </c>
      <c r="N49" s="18" t="str">
        <f>IFERROR(VLOOKUP(B49,#REF!,13,FALSE),"")</f>
        <v/>
      </c>
      <c r="O49" s="19" t="str">
        <f>IFERROR(VLOOKUP(B49,#REF!,14,FALSE),"")</f>
        <v/>
      </c>
      <c r="P49" s="19" t="str">
        <f>IFERROR(VLOOKUP(B49,#REF!,15,FALSE),"")</f>
        <v/>
      </c>
      <c r="Q49" s="19"/>
      <c r="R49" s="25" t="str">
        <f>IFERROR(VLOOKUP(B49,#REF!,16,FALSE),"")</f>
        <v/>
      </c>
      <c r="S49" s="17">
        <v>0</v>
      </c>
      <c r="T49" s="17">
        <v>110000</v>
      </c>
      <c r="U49" s="17">
        <v>0</v>
      </c>
      <c r="V49" s="17">
        <v>0</v>
      </c>
      <c r="W49" s="20">
        <v>110000</v>
      </c>
      <c r="X49" s="16" t="s">
        <v>40</v>
      </c>
      <c r="Y49" s="21" t="s">
        <v>40</v>
      </c>
      <c r="Z49" s="20">
        <v>0</v>
      </c>
      <c r="AA49" s="17" t="s">
        <v>40</v>
      </c>
      <c r="AB49" s="22" t="s">
        <v>41</v>
      </c>
      <c r="AC49" s="23" t="str">
        <f t="shared" si="5"/>
        <v>E</v>
      </c>
      <c r="AD49" s="17">
        <v>0</v>
      </c>
      <c r="AE49" s="17">
        <v>0</v>
      </c>
      <c r="AF49" s="17">
        <v>0</v>
      </c>
      <c r="AG49" s="17">
        <v>0</v>
      </c>
      <c r="AH49" s="15" t="s">
        <v>42</v>
      </c>
    </row>
    <row r="50" spans="1:34">
      <c r="A50" s="13" t="str">
        <f t="shared" si="0"/>
        <v>OverStock</v>
      </c>
      <c r="B50" s="14" t="s">
        <v>339</v>
      </c>
      <c r="C50" s="15" t="s">
        <v>280</v>
      </c>
      <c r="D50" s="19">
        <f t="shared" si="1"/>
        <v>352</v>
      </c>
      <c r="E50" s="16" t="str">
        <f t="shared" si="2"/>
        <v>--</v>
      </c>
      <c r="F50" s="16">
        <f t="shared" si="3"/>
        <v>160</v>
      </c>
      <c r="G50" s="16" t="str">
        <f t="shared" si="4"/>
        <v>--</v>
      </c>
      <c r="H50" s="24" t="str">
        <f>IFERROR(VLOOKUP(B50,#REF!,8,FALSE),"")</f>
        <v/>
      </c>
      <c r="I50" s="17">
        <v>120000</v>
      </c>
      <c r="J50" s="17">
        <v>0</v>
      </c>
      <c r="K50" s="24" t="str">
        <f>IFERROR(VLOOKUP(B50,#REF!,11,FALSE),"")</f>
        <v/>
      </c>
      <c r="L50" s="17">
        <v>264000</v>
      </c>
      <c r="M50" s="6" t="s">
        <v>748</v>
      </c>
      <c r="N50" s="18" t="str">
        <f>IFERROR(VLOOKUP(B50,#REF!,13,FALSE),"")</f>
        <v/>
      </c>
      <c r="O50" s="19" t="str">
        <f>IFERROR(VLOOKUP(B50,#REF!,14,FALSE),"")</f>
        <v/>
      </c>
      <c r="P50" s="19" t="str">
        <f>IFERROR(VLOOKUP(B50,#REF!,15,FALSE),"")</f>
        <v/>
      </c>
      <c r="Q50" s="19"/>
      <c r="R50" s="25" t="str">
        <f>IFERROR(VLOOKUP(B50,#REF!,16,FALSE),"")</f>
        <v/>
      </c>
      <c r="S50" s="17">
        <v>0</v>
      </c>
      <c r="T50" s="17">
        <v>264000</v>
      </c>
      <c r="U50" s="17">
        <v>0</v>
      </c>
      <c r="V50" s="17">
        <v>0</v>
      </c>
      <c r="W50" s="20">
        <v>384000</v>
      </c>
      <c r="X50" s="16">
        <v>512</v>
      </c>
      <c r="Y50" s="21" t="s">
        <v>40</v>
      </c>
      <c r="Z50" s="20">
        <v>750</v>
      </c>
      <c r="AA50" s="17">
        <v>0</v>
      </c>
      <c r="AB50" s="22" t="s">
        <v>41</v>
      </c>
      <c r="AC50" s="23" t="str">
        <f t="shared" si="5"/>
        <v>E</v>
      </c>
      <c r="AD50" s="17">
        <v>3000</v>
      </c>
      <c r="AE50" s="17">
        <v>0</v>
      </c>
      <c r="AF50" s="17">
        <v>0</v>
      </c>
      <c r="AG50" s="17">
        <v>0</v>
      </c>
      <c r="AH50" s="15" t="s">
        <v>42</v>
      </c>
    </row>
    <row r="51" spans="1:34">
      <c r="A51" s="13" t="str">
        <f t="shared" si="0"/>
        <v>OverStock</v>
      </c>
      <c r="B51" s="14" t="s">
        <v>498</v>
      </c>
      <c r="C51" s="15" t="s">
        <v>280</v>
      </c>
      <c r="D51" s="19">
        <f t="shared" si="1"/>
        <v>48</v>
      </c>
      <c r="E51" s="16">
        <f t="shared" si="2"/>
        <v>11</v>
      </c>
      <c r="F51" s="16">
        <f t="shared" si="3"/>
        <v>495</v>
      </c>
      <c r="G51" s="16">
        <f t="shared" si="4"/>
        <v>113.7</v>
      </c>
      <c r="H51" s="24" t="str">
        <f>IFERROR(VLOOKUP(B51,#REF!,8,FALSE),"")</f>
        <v/>
      </c>
      <c r="I51" s="17">
        <v>1485000</v>
      </c>
      <c r="J51" s="17">
        <v>432000</v>
      </c>
      <c r="K51" s="24" t="str">
        <f>IFERROR(VLOOKUP(B51,#REF!,11,FALSE),"")</f>
        <v/>
      </c>
      <c r="L51" s="17">
        <v>144000</v>
      </c>
      <c r="M51" s="6" t="s">
        <v>748</v>
      </c>
      <c r="N51" s="18" t="str">
        <f>IFERROR(VLOOKUP(B51,#REF!,13,FALSE),"")</f>
        <v/>
      </c>
      <c r="O51" s="19" t="str">
        <f>IFERROR(VLOOKUP(B51,#REF!,14,FALSE),"")</f>
        <v/>
      </c>
      <c r="P51" s="19" t="str">
        <f>IFERROR(VLOOKUP(B51,#REF!,15,FALSE),"")</f>
        <v/>
      </c>
      <c r="Q51" s="19"/>
      <c r="R51" s="25" t="str">
        <f>IFERROR(VLOOKUP(B51,#REF!,16,FALSE),"")</f>
        <v/>
      </c>
      <c r="S51" s="17">
        <v>30000</v>
      </c>
      <c r="T51" s="17">
        <v>45000</v>
      </c>
      <c r="U51" s="17">
        <v>69000</v>
      </c>
      <c r="V51" s="17">
        <v>0</v>
      </c>
      <c r="W51" s="20">
        <v>1629000</v>
      </c>
      <c r="X51" s="16">
        <v>543</v>
      </c>
      <c r="Y51" s="21">
        <v>124.7</v>
      </c>
      <c r="Z51" s="20">
        <v>3000</v>
      </c>
      <c r="AA51" s="17">
        <v>13065</v>
      </c>
      <c r="AB51" s="22">
        <v>4.4000000000000004</v>
      </c>
      <c r="AC51" s="23">
        <f t="shared" si="5"/>
        <v>150</v>
      </c>
      <c r="AD51" s="17">
        <v>8444</v>
      </c>
      <c r="AE51" s="17">
        <v>50856</v>
      </c>
      <c r="AF51" s="17">
        <v>58328</v>
      </c>
      <c r="AG51" s="17">
        <v>87792</v>
      </c>
      <c r="AH51" s="15" t="s">
        <v>42</v>
      </c>
    </row>
    <row r="52" spans="1:34">
      <c r="A52" s="13" t="str">
        <f t="shared" si="0"/>
        <v>OverStock</v>
      </c>
      <c r="B52" s="14" t="s">
        <v>135</v>
      </c>
      <c r="C52" s="15" t="s">
        <v>46</v>
      </c>
      <c r="D52" s="19">
        <f t="shared" si="1"/>
        <v>24</v>
      </c>
      <c r="E52" s="16">
        <f t="shared" si="2"/>
        <v>8.6</v>
      </c>
      <c r="F52" s="16">
        <f t="shared" si="3"/>
        <v>75.2</v>
      </c>
      <c r="G52" s="16">
        <f t="shared" si="4"/>
        <v>27</v>
      </c>
      <c r="H52" s="24" t="str">
        <f>IFERROR(VLOOKUP(B52,#REF!,8,FALSE),"")</f>
        <v/>
      </c>
      <c r="I52" s="17">
        <v>423000</v>
      </c>
      <c r="J52" s="17">
        <v>216000</v>
      </c>
      <c r="K52" s="24" t="str">
        <f>IFERROR(VLOOKUP(B52,#REF!,11,FALSE),"")</f>
        <v/>
      </c>
      <c r="L52" s="17">
        <v>135000</v>
      </c>
      <c r="M52" s="6" t="s">
        <v>745</v>
      </c>
      <c r="N52" s="18" t="str">
        <f>IFERROR(VLOOKUP(B52,#REF!,13,FALSE),"")</f>
        <v/>
      </c>
      <c r="O52" s="19" t="str">
        <f>IFERROR(VLOOKUP(B52,#REF!,14,FALSE),"")</f>
        <v/>
      </c>
      <c r="P52" s="19" t="str">
        <f>IFERROR(VLOOKUP(B52,#REF!,15,FALSE),"")</f>
        <v/>
      </c>
      <c r="Q52" s="19"/>
      <c r="R52" s="25" t="str">
        <f>IFERROR(VLOOKUP(B52,#REF!,16,FALSE),"")</f>
        <v/>
      </c>
      <c r="S52" s="17">
        <v>0</v>
      </c>
      <c r="T52" s="17">
        <v>135000</v>
      </c>
      <c r="U52" s="17">
        <v>0</v>
      </c>
      <c r="V52" s="17">
        <v>0</v>
      </c>
      <c r="W52" s="20">
        <v>558000</v>
      </c>
      <c r="X52" s="16">
        <v>99.2</v>
      </c>
      <c r="Y52" s="21">
        <v>35.6</v>
      </c>
      <c r="Z52" s="20">
        <v>5625</v>
      </c>
      <c r="AA52" s="17">
        <v>15667</v>
      </c>
      <c r="AB52" s="22">
        <v>2.8</v>
      </c>
      <c r="AC52" s="23">
        <f t="shared" si="5"/>
        <v>150</v>
      </c>
      <c r="AD52" s="17">
        <v>0</v>
      </c>
      <c r="AE52" s="17">
        <v>75000</v>
      </c>
      <c r="AF52" s="17">
        <v>72000</v>
      </c>
      <c r="AG52" s="17">
        <v>174000</v>
      </c>
      <c r="AH52" s="15" t="s">
        <v>42</v>
      </c>
    </row>
    <row r="53" spans="1:34">
      <c r="A53" s="13" t="str">
        <f t="shared" si="0"/>
        <v>OverStock</v>
      </c>
      <c r="B53" s="14" t="s">
        <v>465</v>
      </c>
      <c r="C53" s="15" t="s">
        <v>280</v>
      </c>
      <c r="D53" s="19">
        <f t="shared" si="1"/>
        <v>22.8</v>
      </c>
      <c r="E53" s="16" t="str">
        <f t="shared" si="2"/>
        <v>--</v>
      </c>
      <c r="F53" s="16">
        <f t="shared" si="3"/>
        <v>24</v>
      </c>
      <c r="G53" s="16" t="str">
        <f t="shared" si="4"/>
        <v>--</v>
      </c>
      <c r="H53" s="24" t="str">
        <f>IFERROR(VLOOKUP(B53,#REF!,8,FALSE),"")</f>
        <v/>
      </c>
      <c r="I53" s="17">
        <v>195000</v>
      </c>
      <c r="J53" s="17">
        <v>50000</v>
      </c>
      <c r="K53" s="24" t="str">
        <f>IFERROR(VLOOKUP(B53,#REF!,11,FALSE),"")</f>
        <v/>
      </c>
      <c r="L53" s="17">
        <v>185000</v>
      </c>
      <c r="M53" s="6" t="s">
        <v>758</v>
      </c>
      <c r="N53" s="18" t="str">
        <f>IFERROR(VLOOKUP(B53,#REF!,13,FALSE),"")</f>
        <v/>
      </c>
      <c r="O53" s="19" t="str">
        <f>IFERROR(VLOOKUP(B53,#REF!,14,FALSE),"")</f>
        <v/>
      </c>
      <c r="P53" s="19" t="str">
        <f>IFERROR(VLOOKUP(B53,#REF!,15,FALSE),"")</f>
        <v/>
      </c>
      <c r="Q53" s="19"/>
      <c r="R53" s="25" t="str">
        <f>IFERROR(VLOOKUP(B53,#REF!,16,FALSE),"")</f>
        <v/>
      </c>
      <c r="S53" s="17">
        <v>0</v>
      </c>
      <c r="T53" s="17">
        <v>135000</v>
      </c>
      <c r="U53" s="17">
        <v>50000</v>
      </c>
      <c r="V53" s="17">
        <v>0</v>
      </c>
      <c r="W53" s="20">
        <v>380000</v>
      </c>
      <c r="X53" s="16">
        <v>46.8</v>
      </c>
      <c r="Y53" s="21" t="s">
        <v>40</v>
      </c>
      <c r="Z53" s="20">
        <v>8125</v>
      </c>
      <c r="AA53" s="17" t="s">
        <v>40</v>
      </c>
      <c r="AB53" s="22" t="s">
        <v>41</v>
      </c>
      <c r="AC53" s="23" t="str">
        <f t="shared" si="5"/>
        <v>E</v>
      </c>
      <c r="AD53" s="17">
        <v>0</v>
      </c>
      <c r="AE53" s="17">
        <v>0</v>
      </c>
      <c r="AF53" s="17">
        <v>0</v>
      </c>
      <c r="AG53" s="17">
        <v>0</v>
      </c>
      <c r="AH53" s="15" t="s">
        <v>42</v>
      </c>
    </row>
    <row r="54" spans="1:34">
      <c r="A54" s="13" t="str">
        <f t="shared" si="0"/>
        <v>OverStock</v>
      </c>
      <c r="B54" s="14" t="s">
        <v>281</v>
      </c>
      <c r="C54" s="15" t="s">
        <v>280</v>
      </c>
      <c r="D54" s="19">
        <f t="shared" si="1"/>
        <v>19.8</v>
      </c>
      <c r="E54" s="16">
        <f t="shared" si="2"/>
        <v>15.1</v>
      </c>
      <c r="F54" s="16">
        <f t="shared" si="3"/>
        <v>45.9</v>
      </c>
      <c r="G54" s="16">
        <f t="shared" si="4"/>
        <v>35.1</v>
      </c>
      <c r="H54" s="24" t="str">
        <f>IFERROR(VLOOKUP(B54,#REF!,8,FALSE),"")</f>
        <v/>
      </c>
      <c r="I54" s="17">
        <v>1101000</v>
      </c>
      <c r="J54" s="17">
        <v>135000</v>
      </c>
      <c r="K54" s="24" t="str">
        <f>IFERROR(VLOOKUP(B54,#REF!,11,FALSE),"")</f>
        <v/>
      </c>
      <c r="L54" s="17">
        <v>474000</v>
      </c>
      <c r="M54" s="6" t="s">
        <v>748</v>
      </c>
      <c r="N54" s="18" t="str">
        <f>IFERROR(VLOOKUP(B54,#REF!,13,FALSE),"")</f>
        <v/>
      </c>
      <c r="O54" s="19" t="str">
        <f>IFERROR(VLOOKUP(B54,#REF!,14,FALSE),"")</f>
        <v/>
      </c>
      <c r="P54" s="19" t="str">
        <f>IFERROR(VLOOKUP(B54,#REF!,15,FALSE),"")</f>
        <v/>
      </c>
      <c r="Q54" s="19"/>
      <c r="R54" s="25" t="str">
        <f>IFERROR(VLOOKUP(B54,#REF!,16,FALSE),"")</f>
        <v/>
      </c>
      <c r="S54" s="17">
        <v>0</v>
      </c>
      <c r="T54" s="17">
        <v>474000</v>
      </c>
      <c r="U54" s="17">
        <v>0</v>
      </c>
      <c r="V54" s="17">
        <v>0</v>
      </c>
      <c r="W54" s="20">
        <v>1575000</v>
      </c>
      <c r="X54" s="16">
        <v>65.599999999999994</v>
      </c>
      <c r="Y54" s="21">
        <v>50.3</v>
      </c>
      <c r="Z54" s="20">
        <v>24000</v>
      </c>
      <c r="AA54" s="17">
        <v>31333</v>
      </c>
      <c r="AB54" s="22">
        <v>1.3</v>
      </c>
      <c r="AC54" s="23">
        <f t="shared" si="5"/>
        <v>100</v>
      </c>
      <c r="AD54" s="17">
        <v>285000</v>
      </c>
      <c r="AE54" s="17">
        <v>0</v>
      </c>
      <c r="AF54" s="17">
        <v>0</v>
      </c>
      <c r="AG54" s="17">
        <v>0</v>
      </c>
      <c r="AH54" s="15" t="s">
        <v>42</v>
      </c>
    </row>
    <row r="55" spans="1:34">
      <c r="A55" s="13" t="str">
        <f t="shared" si="0"/>
        <v>OverStock</v>
      </c>
      <c r="B55" s="14" t="s">
        <v>496</v>
      </c>
      <c r="C55" s="15" t="s">
        <v>280</v>
      </c>
      <c r="D55" s="19">
        <f t="shared" si="1"/>
        <v>27.3</v>
      </c>
      <c r="E55" s="16">
        <f t="shared" si="2"/>
        <v>13.7</v>
      </c>
      <c r="F55" s="16">
        <f t="shared" si="3"/>
        <v>30</v>
      </c>
      <c r="G55" s="16">
        <f t="shared" si="4"/>
        <v>15.1</v>
      </c>
      <c r="H55" s="24" t="str">
        <f>IFERROR(VLOOKUP(B55,#REF!,8,FALSE),"")</f>
        <v/>
      </c>
      <c r="I55" s="17">
        <v>135000</v>
      </c>
      <c r="J55" s="17">
        <v>0</v>
      </c>
      <c r="K55" s="24" t="str">
        <f>IFERROR(VLOOKUP(B55,#REF!,11,FALSE),"")</f>
        <v/>
      </c>
      <c r="L55" s="17">
        <v>123000</v>
      </c>
      <c r="M55" s="6" t="s">
        <v>748</v>
      </c>
      <c r="N55" s="18" t="str">
        <f>IFERROR(VLOOKUP(B55,#REF!,13,FALSE),"")</f>
        <v/>
      </c>
      <c r="O55" s="19" t="str">
        <f>IFERROR(VLOOKUP(B55,#REF!,14,FALSE),"")</f>
        <v/>
      </c>
      <c r="P55" s="19" t="str">
        <f>IFERROR(VLOOKUP(B55,#REF!,15,FALSE),"")</f>
        <v/>
      </c>
      <c r="Q55" s="19"/>
      <c r="R55" s="25" t="str">
        <f>IFERROR(VLOOKUP(B55,#REF!,16,FALSE),"")</f>
        <v/>
      </c>
      <c r="S55" s="17">
        <v>0</v>
      </c>
      <c r="T55" s="17">
        <v>69000</v>
      </c>
      <c r="U55" s="17">
        <v>54000</v>
      </c>
      <c r="V55" s="17">
        <v>0</v>
      </c>
      <c r="W55" s="20">
        <v>258000</v>
      </c>
      <c r="X55" s="16">
        <v>57.3</v>
      </c>
      <c r="Y55" s="21">
        <v>28.8</v>
      </c>
      <c r="Z55" s="20">
        <v>4500</v>
      </c>
      <c r="AA55" s="17">
        <v>8953</v>
      </c>
      <c r="AB55" s="22">
        <v>2</v>
      </c>
      <c r="AC55" s="23">
        <f t="shared" si="5"/>
        <v>150</v>
      </c>
      <c r="AD55" s="17">
        <v>2575</v>
      </c>
      <c r="AE55" s="17">
        <v>44200</v>
      </c>
      <c r="AF55" s="17">
        <v>33800</v>
      </c>
      <c r="AG55" s="17">
        <v>41925</v>
      </c>
      <c r="AH55" s="15" t="s">
        <v>42</v>
      </c>
    </row>
    <row r="56" spans="1:34">
      <c r="A56" s="13" t="str">
        <f t="shared" si="0"/>
        <v>OverStock</v>
      </c>
      <c r="B56" s="14" t="s">
        <v>596</v>
      </c>
      <c r="C56" s="15" t="s">
        <v>277</v>
      </c>
      <c r="D56" s="19">
        <f t="shared" si="1"/>
        <v>12</v>
      </c>
      <c r="E56" s="16">
        <f t="shared" si="2"/>
        <v>9.3000000000000007</v>
      </c>
      <c r="F56" s="16">
        <f t="shared" si="3"/>
        <v>30.2</v>
      </c>
      <c r="G56" s="16">
        <f t="shared" si="4"/>
        <v>23.3</v>
      </c>
      <c r="H56" s="24" t="str">
        <f>IFERROR(VLOOKUP(B56,#REF!,8,FALSE),"")</f>
        <v/>
      </c>
      <c r="I56" s="17">
        <v>249000</v>
      </c>
      <c r="J56" s="17">
        <v>48000</v>
      </c>
      <c r="K56" s="24" t="str">
        <f>IFERROR(VLOOKUP(B56,#REF!,11,FALSE),"")</f>
        <v/>
      </c>
      <c r="L56" s="17">
        <v>99000</v>
      </c>
      <c r="M56" s="6" t="s">
        <v>753</v>
      </c>
      <c r="N56" s="18" t="str">
        <f>IFERROR(VLOOKUP(B56,#REF!,13,FALSE),"")</f>
        <v/>
      </c>
      <c r="O56" s="19" t="str">
        <f>IFERROR(VLOOKUP(B56,#REF!,14,FALSE),"")</f>
        <v/>
      </c>
      <c r="P56" s="19" t="str">
        <f>IFERROR(VLOOKUP(B56,#REF!,15,FALSE),"")</f>
        <v/>
      </c>
      <c r="Q56" s="19"/>
      <c r="R56" s="25" t="str">
        <f>IFERROR(VLOOKUP(B56,#REF!,16,FALSE),"")</f>
        <v/>
      </c>
      <c r="S56" s="17">
        <v>0</v>
      </c>
      <c r="T56" s="17">
        <v>99000</v>
      </c>
      <c r="U56" s="17">
        <v>0</v>
      </c>
      <c r="V56" s="17">
        <v>0</v>
      </c>
      <c r="W56" s="20">
        <v>348000</v>
      </c>
      <c r="X56" s="16">
        <v>42.2</v>
      </c>
      <c r="Y56" s="21">
        <v>32.6</v>
      </c>
      <c r="Z56" s="20">
        <v>8250</v>
      </c>
      <c r="AA56" s="17">
        <v>10667</v>
      </c>
      <c r="AB56" s="22">
        <v>1.3</v>
      </c>
      <c r="AC56" s="23">
        <f t="shared" si="5"/>
        <v>100</v>
      </c>
      <c r="AD56" s="17">
        <v>0</v>
      </c>
      <c r="AE56" s="17">
        <v>54000</v>
      </c>
      <c r="AF56" s="17">
        <v>42000</v>
      </c>
      <c r="AG56" s="17">
        <v>51000</v>
      </c>
      <c r="AH56" s="15" t="s">
        <v>42</v>
      </c>
    </row>
    <row r="57" spans="1:34">
      <c r="A57" s="13" t="str">
        <f t="shared" si="0"/>
        <v>OverStock</v>
      </c>
      <c r="B57" s="14" t="s">
        <v>499</v>
      </c>
      <c r="C57" s="15" t="s">
        <v>280</v>
      </c>
      <c r="D57" s="19">
        <f t="shared" si="1"/>
        <v>59.2</v>
      </c>
      <c r="E57" s="16">
        <f t="shared" si="2"/>
        <v>8.6</v>
      </c>
      <c r="F57" s="16">
        <f t="shared" si="3"/>
        <v>656</v>
      </c>
      <c r="G57" s="16">
        <f t="shared" si="4"/>
        <v>95.2</v>
      </c>
      <c r="H57" s="24" t="str">
        <f>IFERROR(VLOOKUP(B57,#REF!,8,FALSE),"")</f>
        <v/>
      </c>
      <c r="I57" s="17">
        <v>1230000</v>
      </c>
      <c r="J57" s="17">
        <v>192000</v>
      </c>
      <c r="K57" s="24" t="str">
        <f>IFERROR(VLOOKUP(B57,#REF!,11,FALSE),"")</f>
        <v/>
      </c>
      <c r="L57" s="17">
        <v>111000</v>
      </c>
      <c r="M57" s="6" t="s">
        <v>748</v>
      </c>
      <c r="N57" s="18" t="str">
        <f>IFERROR(VLOOKUP(B57,#REF!,13,FALSE),"")</f>
        <v/>
      </c>
      <c r="O57" s="19" t="str">
        <f>IFERROR(VLOOKUP(B57,#REF!,14,FALSE),"")</f>
        <v/>
      </c>
      <c r="P57" s="19" t="str">
        <f>IFERROR(VLOOKUP(B57,#REF!,15,FALSE),"")</f>
        <v/>
      </c>
      <c r="Q57" s="19"/>
      <c r="R57" s="25" t="str">
        <f>IFERROR(VLOOKUP(B57,#REF!,16,FALSE),"")</f>
        <v/>
      </c>
      <c r="S57" s="17">
        <v>30000</v>
      </c>
      <c r="T57" s="17">
        <v>12000</v>
      </c>
      <c r="U57" s="17">
        <v>69000</v>
      </c>
      <c r="V57" s="17">
        <v>0</v>
      </c>
      <c r="W57" s="20">
        <v>1341000</v>
      </c>
      <c r="X57" s="16">
        <v>715.2</v>
      </c>
      <c r="Y57" s="21">
        <v>103.8</v>
      </c>
      <c r="Z57" s="20">
        <v>1875</v>
      </c>
      <c r="AA57" s="17">
        <v>12915</v>
      </c>
      <c r="AB57" s="22">
        <v>6.9</v>
      </c>
      <c r="AC57" s="23">
        <f t="shared" si="5"/>
        <v>150</v>
      </c>
      <c r="AD57" s="17">
        <v>10762</v>
      </c>
      <c r="AE57" s="17">
        <v>49264</v>
      </c>
      <c r="AF57" s="17">
        <v>56243</v>
      </c>
      <c r="AG57" s="17">
        <v>88812</v>
      </c>
      <c r="AH57" s="15" t="s">
        <v>42</v>
      </c>
    </row>
    <row r="58" spans="1:34">
      <c r="A58" s="13" t="str">
        <f t="shared" si="0"/>
        <v>OverStock</v>
      </c>
      <c r="B58" s="14" t="s">
        <v>312</v>
      </c>
      <c r="C58" s="15" t="s">
        <v>280</v>
      </c>
      <c r="D58" s="19">
        <f t="shared" si="1"/>
        <v>15.6</v>
      </c>
      <c r="E58" s="16">
        <f t="shared" si="2"/>
        <v>9.4</v>
      </c>
      <c r="F58" s="16">
        <f t="shared" si="3"/>
        <v>25.5</v>
      </c>
      <c r="G58" s="16">
        <f t="shared" si="4"/>
        <v>15.3</v>
      </c>
      <c r="H58" s="24" t="str">
        <f>IFERROR(VLOOKUP(B58,#REF!,8,FALSE),"")</f>
        <v/>
      </c>
      <c r="I58" s="17">
        <v>651000</v>
      </c>
      <c r="J58" s="17">
        <v>381000</v>
      </c>
      <c r="K58" s="24" t="str">
        <f>IFERROR(VLOOKUP(B58,#REF!,11,FALSE),"")</f>
        <v/>
      </c>
      <c r="L58" s="17">
        <v>398100</v>
      </c>
      <c r="M58" s="6" t="s">
        <v>751</v>
      </c>
      <c r="N58" s="18" t="str">
        <f>IFERROR(VLOOKUP(B58,#REF!,13,FALSE),"")</f>
        <v/>
      </c>
      <c r="O58" s="19" t="str">
        <f>IFERROR(VLOOKUP(B58,#REF!,14,FALSE),"")</f>
        <v/>
      </c>
      <c r="P58" s="19" t="str">
        <f>IFERROR(VLOOKUP(B58,#REF!,15,FALSE),"")</f>
        <v/>
      </c>
      <c r="Q58" s="19"/>
      <c r="R58" s="25" t="str">
        <f>IFERROR(VLOOKUP(B58,#REF!,16,FALSE),"")</f>
        <v/>
      </c>
      <c r="S58" s="17">
        <v>0</v>
      </c>
      <c r="T58" s="17">
        <v>257100</v>
      </c>
      <c r="U58" s="17">
        <v>141000</v>
      </c>
      <c r="V58" s="17">
        <v>0</v>
      </c>
      <c r="W58" s="20">
        <v>1049100</v>
      </c>
      <c r="X58" s="16">
        <v>41.1</v>
      </c>
      <c r="Y58" s="21">
        <v>24.7</v>
      </c>
      <c r="Z58" s="20">
        <v>25500</v>
      </c>
      <c r="AA58" s="17">
        <v>42541</v>
      </c>
      <c r="AB58" s="22">
        <v>1.7</v>
      </c>
      <c r="AC58" s="23">
        <f t="shared" si="5"/>
        <v>100</v>
      </c>
      <c r="AD58" s="17">
        <v>40600</v>
      </c>
      <c r="AE58" s="17">
        <v>186700</v>
      </c>
      <c r="AF58" s="17">
        <v>197173</v>
      </c>
      <c r="AG58" s="17">
        <v>98200</v>
      </c>
      <c r="AH58" s="15" t="s">
        <v>42</v>
      </c>
    </row>
    <row r="59" spans="1:34">
      <c r="A59" s="13" t="str">
        <f t="shared" si="0"/>
        <v>OverStock</v>
      </c>
      <c r="B59" s="14" t="s">
        <v>387</v>
      </c>
      <c r="C59" s="15" t="s">
        <v>280</v>
      </c>
      <c r="D59" s="19">
        <f t="shared" si="1"/>
        <v>17.100000000000001</v>
      </c>
      <c r="E59" s="16">
        <f t="shared" si="2"/>
        <v>21.8</v>
      </c>
      <c r="F59" s="16">
        <f t="shared" si="3"/>
        <v>90.3</v>
      </c>
      <c r="G59" s="16">
        <f t="shared" si="4"/>
        <v>115.5</v>
      </c>
      <c r="H59" s="24" t="str">
        <f>IFERROR(VLOOKUP(B59,#REF!,8,FALSE),"")</f>
        <v/>
      </c>
      <c r="I59" s="17">
        <v>1270000</v>
      </c>
      <c r="J59" s="17">
        <v>942500</v>
      </c>
      <c r="K59" s="24" t="str">
        <f>IFERROR(VLOOKUP(B59,#REF!,11,FALSE),"")</f>
        <v/>
      </c>
      <c r="L59" s="17">
        <v>240000</v>
      </c>
      <c r="M59" s="6" t="s">
        <v>748</v>
      </c>
      <c r="N59" s="18" t="str">
        <f>IFERROR(VLOOKUP(B59,#REF!,13,FALSE),"")</f>
        <v/>
      </c>
      <c r="O59" s="19" t="str">
        <f>IFERROR(VLOOKUP(B59,#REF!,14,FALSE),"")</f>
        <v/>
      </c>
      <c r="P59" s="19" t="str">
        <f>IFERROR(VLOOKUP(B59,#REF!,15,FALSE),"")</f>
        <v/>
      </c>
      <c r="Q59" s="19"/>
      <c r="R59" s="25" t="str">
        <f>IFERROR(VLOOKUP(B59,#REF!,16,FALSE),"")</f>
        <v/>
      </c>
      <c r="S59" s="17">
        <v>0</v>
      </c>
      <c r="T59" s="17">
        <v>140000</v>
      </c>
      <c r="U59" s="17">
        <v>100000</v>
      </c>
      <c r="V59" s="17">
        <v>0</v>
      </c>
      <c r="W59" s="20">
        <v>1510000</v>
      </c>
      <c r="X59" s="16">
        <v>107.4</v>
      </c>
      <c r="Y59" s="21">
        <v>137.30000000000001</v>
      </c>
      <c r="Z59" s="20">
        <v>14063</v>
      </c>
      <c r="AA59" s="17">
        <v>11000</v>
      </c>
      <c r="AB59" s="22">
        <v>0.8</v>
      </c>
      <c r="AC59" s="23">
        <f t="shared" si="5"/>
        <v>100</v>
      </c>
      <c r="AD59" s="17">
        <v>0</v>
      </c>
      <c r="AE59" s="17">
        <v>20000</v>
      </c>
      <c r="AF59" s="17">
        <v>79000</v>
      </c>
      <c r="AG59" s="17">
        <v>32100</v>
      </c>
      <c r="AH59" s="15" t="s">
        <v>42</v>
      </c>
    </row>
    <row r="60" spans="1:34">
      <c r="A60" s="13" t="str">
        <f t="shared" si="0"/>
        <v>OverStock</v>
      </c>
      <c r="B60" s="14" t="s">
        <v>120</v>
      </c>
      <c r="C60" s="15" t="s">
        <v>46</v>
      </c>
      <c r="D60" s="19">
        <f t="shared" si="1"/>
        <v>22.7</v>
      </c>
      <c r="E60" s="16">
        <f t="shared" si="2"/>
        <v>16.100000000000001</v>
      </c>
      <c r="F60" s="16">
        <f t="shared" si="3"/>
        <v>13.3</v>
      </c>
      <c r="G60" s="16">
        <f t="shared" si="4"/>
        <v>9.5</v>
      </c>
      <c r="H60" s="24" t="str">
        <f>IFERROR(VLOOKUP(B60,#REF!,8,FALSE),"")</f>
        <v/>
      </c>
      <c r="I60" s="17">
        <v>50000</v>
      </c>
      <c r="J60" s="17">
        <v>0</v>
      </c>
      <c r="K60" s="24" t="str">
        <f>IFERROR(VLOOKUP(B60,#REF!,11,FALSE),"")</f>
        <v/>
      </c>
      <c r="L60" s="17">
        <v>85000</v>
      </c>
      <c r="M60" s="6" t="s">
        <v>745</v>
      </c>
      <c r="N60" s="18" t="str">
        <f>IFERROR(VLOOKUP(B60,#REF!,13,FALSE),"")</f>
        <v/>
      </c>
      <c r="O60" s="19" t="str">
        <f>IFERROR(VLOOKUP(B60,#REF!,14,FALSE),"")</f>
        <v/>
      </c>
      <c r="P60" s="19" t="str">
        <f>IFERROR(VLOOKUP(B60,#REF!,15,FALSE),"")</f>
        <v/>
      </c>
      <c r="Q60" s="19"/>
      <c r="R60" s="25" t="str">
        <f>IFERROR(VLOOKUP(B60,#REF!,16,FALSE),"")</f>
        <v/>
      </c>
      <c r="S60" s="17">
        <v>0</v>
      </c>
      <c r="T60" s="17">
        <v>85000</v>
      </c>
      <c r="U60" s="17">
        <v>0</v>
      </c>
      <c r="V60" s="17">
        <v>0</v>
      </c>
      <c r="W60" s="20">
        <v>135000</v>
      </c>
      <c r="X60" s="16">
        <v>36</v>
      </c>
      <c r="Y60" s="21">
        <v>25.6</v>
      </c>
      <c r="Z60" s="20">
        <v>3750</v>
      </c>
      <c r="AA60" s="17">
        <v>5278</v>
      </c>
      <c r="AB60" s="22">
        <v>1.4</v>
      </c>
      <c r="AC60" s="23">
        <f t="shared" si="5"/>
        <v>100</v>
      </c>
      <c r="AD60" s="17">
        <v>2500</v>
      </c>
      <c r="AE60" s="17">
        <v>40000</v>
      </c>
      <c r="AF60" s="17">
        <v>5000</v>
      </c>
      <c r="AG60" s="17">
        <v>0</v>
      </c>
      <c r="AH60" s="15" t="s">
        <v>42</v>
      </c>
    </row>
    <row r="61" spans="1:34">
      <c r="A61" s="13" t="str">
        <f t="shared" si="0"/>
        <v>OverStock</v>
      </c>
      <c r="B61" s="14" t="s">
        <v>489</v>
      </c>
      <c r="C61" s="15" t="s">
        <v>280</v>
      </c>
      <c r="D61" s="19">
        <f t="shared" si="1"/>
        <v>15.5</v>
      </c>
      <c r="E61" s="16">
        <f t="shared" si="2"/>
        <v>26.2</v>
      </c>
      <c r="F61" s="16">
        <f t="shared" si="3"/>
        <v>87.1</v>
      </c>
      <c r="G61" s="16">
        <f t="shared" si="4"/>
        <v>146.80000000000001</v>
      </c>
      <c r="H61" s="24" t="str">
        <f>IFERROR(VLOOKUP(B61,#REF!,8,FALSE),"")</f>
        <v/>
      </c>
      <c r="I61" s="17">
        <v>555000</v>
      </c>
      <c r="J61" s="17">
        <v>300000</v>
      </c>
      <c r="K61" s="24" t="str">
        <f>IFERROR(VLOOKUP(B61,#REF!,11,FALSE),"")</f>
        <v/>
      </c>
      <c r="L61" s="17">
        <v>99000</v>
      </c>
      <c r="M61" s="6" t="s">
        <v>755</v>
      </c>
      <c r="N61" s="18" t="str">
        <f>IFERROR(VLOOKUP(B61,#REF!,13,FALSE),"")</f>
        <v/>
      </c>
      <c r="O61" s="19" t="str">
        <f>IFERROR(VLOOKUP(B61,#REF!,14,FALSE),"")</f>
        <v/>
      </c>
      <c r="P61" s="19" t="str">
        <f>IFERROR(VLOOKUP(B61,#REF!,15,FALSE),"")</f>
        <v/>
      </c>
      <c r="Q61" s="19"/>
      <c r="R61" s="25" t="str">
        <f>IFERROR(VLOOKUP(B61,#REF!,16,FALSE),"")</f>
        <v/>
      </c>
      <c r="S61" s="17">
        <v>0</v>
      </c>
      <c r="T61" s="17">
        <v>96000</v>
      </c>
      <c r="U61" s="17">
        <v>3000</v>
      </c>
      <c r="V61" s="17">
        <v>0</v>
      </c>
      <c r="W61" s="20">
        <v>654000</v>
      </c>
      <c r="X61" s="16">
        <v>102.6</v>
      </c>
      <c r="Y61" s="21">
        <v>173</v>
      </c>
      <c r="Z61" s="20">
        <v>6375</v>
      </c>
      <c r="AA61" s="17">
        <v>3780</v>
      </c>
      <c r="AB61" s="22">
        <v>0.6</v>
      </c>
      <c r="AC61" s="23">
        <f t="shared" si="5"/>
        <v>100</v>
      </c>
      <c r="AD61" s="17">
        <v>22015</v>
      </c>
      <c r="AE61" s="17">
        <v>18000</v>
      </c>
      <c r="AF61" s="17">
        <v>12000</v>
      </c>
      <c r="AG61" s="17">
        <v>15000</v>
      </c>
      <c r="AH61" s="15" t="s">
        <v>42</v>
      </c>
    </row>
    <row r="62" spans="1:34">
      <c r="A62" s="13" t="str">
        <f t="shared" si="0"/>
        <v>OverStock</v>
      </c>
      <c r="B62" s="14" t="s">
        <v>492</v>
      </c>
      <c r="C62" s="15" t="s">
        <v>280</v>
      </c>
      <c r="D62" s="19">
        <f t="shared" si="1"/>
        <v>388.8</v>
      </c>
      <c r="E62" s="16">
        <f t="shared" si="2"/>
        <v>218.6</v>
      </c>
      <c r="F62" s="16">
        <f t="shared" si="3"/>
        <v>136</v>
      </c>
      <c r="G62" s="16">
        <f t="shared" si="4"/>
        <v>76.5</v>
      </c>
      <c r="H62" s="24" t="str">
        <f>IFERROR(VLOOKUP(B62,#REF!,8,FALSE),"")</f>
        <v/>
      </c>
      <c r="I62" s="17">
        <v>51000</v>
      </c>
      <c r="J62" s="17">
        <v>30000</v>
      </c>
      <c r="K62" s="24" t="str">
        <f>IFERROR(VLOOKUP(B62,#REF!,11,FALSE),"")</f>
        <v/>
      </c>
      <c r="L62" s="17">
        <v>145800</v>
      </c>
      <c r="M62" s="6" t="s">
        <v>760</v>
      </c>
      <c r="N62" s="18" t="str">
        <f>IFERROR(VLOOKUP(B62,#REF!,13,FALSE),"")</f>
        <v/>
      </c>
      <c r="O62" s="19" t="str">
        <f>IFERROR(VLOOKUP(B62,#REF!,14,FALSE),"")</f>
        <v/>
      </c>
      <c r="P62" s="19" t="str">
        <f>IFERROR(VLOOKUP(B62,#REF!,15,FALSE),"")</f>
        <v/>
      </c>
      <c r="Q62" s="19"/>
      <c r="R62" s="25" t="str">
        <f>IFERROR(VLOOKUP(B62,#REF!,16,FALSE),"")</f>
        <v/>
      </c>
      <c r="S62" s="17">
        <v>0</v>
      </c>
      <c r="T62" s="17">
        <v>145800</v>
      </c>
      <c r="U62" s="17">
        <v>0</v>
      </c>
      <c r="V62" s="17">
        <v>0</v>
      </c>
      <c r="W62" s="20">
        <v>196800</v>
      </c>
      <c r="X62" s="16">
        <v>524.79999999999995</v>
      </c>
      <c r="Y62" s="21">
        <v>295.10000000000002</v>
      </c>
      <c r="Z62" s="20">
        <v>375</v>
      </c>
      <c r="AA62" s="17">
        <v>667</v>
      </c>
      <c r="AB62" s="22">
        <v>1.8</v>
      </c>
      <c r="AC62" s="23">
        <f t="shared" si="5"/>
        <v>100</v>
      </c>
      <c r="AD62" s="17">
        <v>0</v>
      </c>
      <c r="AE62" s="17">
        <v>0</v>
      </c>
      <c r="AF62" s="17">
        <v>6000</v>
      </c>
      <c r="AG62" s="17">
        <v>9000</v>
      </c>
      <c r="AH62" s="15" t="s">
        <v>42</v>
      </c>
    </row>
    <row r="63" spans="1:34">
      <c r="A63" s="13" t="str">
        <f t="shared" si="0"/>
        <v>OverStock</v>
      </c>
      <c r="B63" s="14" t="s">
        <v>158</v>
      </c>
      <c r="C63" s="15" t="s">
        <v>46</v>
      </c>
      <c r="D63" s="19">
        <f t="shared" si="1"/>
        <v>14.2</v>
      </c>
      <c r="E63" s="16">
        <f t="shared" si="2"/>
        <v>14.4</v>
      </c>
      <c r="F63" s="16">
        <f t="shared" si="3"/>
        <v>16</v>
      </c>
      <c r="G63" s="16">
        <f t="shared" si="4"/>
        <v>16.2</v>
      </c>
      <c r="H63" s="24" t="str">
        <f>IFERROR(VLOOKUP(B63,#REF!,8,FALSE),"")</f>
        <v/>
      </c>
      <c r="I63" s="17">
        <v>90000</v>
      </c>
      <c r="J63" s="17">
        <v>30000</v>
      </c>
      <c r="K63" s="24" t="str">
        <f>IFERROR(VLOOKUP(B63,#REF!,11,FALSE),"")</f>
        <v/>
      </c>
      <c r="L63" s="17">
        <v>80000</v>
      </c>
      <c r="M63" s="6" t="s">
        <v>745</v>
      </c>
      <c r="N63" s="18" t="str">
        <f>IFERROR(VLOOKUP(B63,#REF!,13,FALSE),"")</f>
        <v/>
      </c>
      <c r="O63" s="19" t="str">
        <f>IFERROR(VLOOKUP(B63,#REF!,14,FALSE),"")</f>
        <v/>
      </c>
      <c r="P63" s="19" t="str">
        <f>IFERROR(VLOOKUP(B63,#REF!,15,FALSE),"")</f>
        <v/>
      </c>
      <c r="Q63" s="19"/>
      <c r="R63" s="25" t="str">
        <f>IFERROR(VLOOKUP(B63,#REF!,16,FALSE),"")</f>
        <v/>
      </c>
      <c r="S63" s="17">
        <v>0</v>
      </c>
      <c r="T63" s="17">
        <v>80000</v>
      </c>
      <c r="U63" s="17">
        <v>0</v>
      </c>
      <c r="V63" s="17">
        <v>0</v>
      </c>
      <c r="W63" s="20">
        <v>170000</v>
      </c>
      <c r="X63" s="16">
        <v>30.2</v>
      </c>
      <c r="Y63" s="21">
        <v>30.6</v>
      </c>
      <c r="Z63" s="20">
        <v>5625</v>
      </c>
      <c r="AA63" s="17">
        <v>5556</v>
      </c>
      <c r="AB63" s="22">
        <v>1</v>
      </c>
      <c r="AC63" s="23">
        <f t="shared" si="5"/>
        <v>100</v>
      </c>
      <c r="AD63" s="17">
        <v>0</v>
      </c>
      <c r="AE63" s="17">
        <v>25000</v>
      </c>
      <c r="AF63" s="17">
        <v>30000</v>
      </c>
      <c r="AG63" s="17">
        <v>35000</v>
      </c>
      <c r="AH63" s="15" t="s">
        <v>42</v>
      </c>
    </row>
    <row r="64" spans="1:34">
      <c r="A64" s="13" t="str">
        <f t="shared" si="0"/>
        <v>OverStock</v>
      </c>
      <c r="B64" s="14" t="s">
        <v>721</v>
      </c>
      <c r="C64" s="15" t="s">
        <v>709</v>
      </c>
      <c r="D64" s="19">
        <f t="shared" si="1"/>
        <v>25.8</v>
      </c>
      <c r="E64" s="16">
        <f t="shared" si="2"/>
        <v>8.1999999999999993</v>
      </c>
      <c r="F64" s="16">
        <f t="shared" si="3"/>
        <v>27.7</v>
      </c>
      <c r="G64" s="16">
        <f t="shared" si="4"/>
        <v>8.8000000000000007</v>
      </c>
      <c r="H64" s="24" t="str">
        <f>IFERROR(VLOOKUP(B64,#REF!,8,FALSE),"")</f>
        <v/>
      </c>
      <c r="I64" s="17">
        <v>112500</v>
      </c>
      <c r="J64" s="17">
        <v>67500</v>
      </c>
      <c r="K64" s="24" t="str">
        <f>IFERROR(VLOOKUP(B64,#REF!,11,FALSE),"")</f>
        <v/>
      </c>
      <c r="L64" s="17">
        <v>105000</v>
      </c>
      <c r="M64" s="6" t="s">
        <v>748</v>
      </c>
      <c r="N64" s="18" t="str">
        <f>IFERROR(VLOOKUP(B64,#REF!,13,FALSE),"")</f>
        <v/>
      </c>
      <c r="O64" s="19" t="str">
        <f>IFERROR(VLOOKUP(B64,#REF!,14,FALSE),"")</f>
        <v/>
      </c>
      <c r="P64" s="19" t="str">
        <f>IFERROR(VLOOKUP(B64,#REF!,15,FALSE),"")</f>
        <v/>
      </c>
      <c r="Q64" s="19"/>
      <c r="R64" s="25" t="str">
        <f>IFERROR(VLOOKUP(B64,#REF!,16,FALSE),"")</f>
        <v/>
      </c>
      <c r="S64" s="17">
        <v>0</v>
      </c>
      <c r="T64" s="17">
        <v>15000</v>
      </c>
      <c r="U64" s="17">
        <v>90000</v>
      </c>
      <c r="V64" s="17">
        <v>0</v>
      </c>
      <c r="W64" s="20">
        <v>217500</v>
      </c>
      <c r="X64" s="16">
        <v>53.5</v>
      </c>
      <c r="Y64" s="21">
        <v>17</v>
      </c>
      <c r="Z64" s="20">
        <v>4063</v>
      </c>
      <c r="AA64" s="17">
        <v>12803</v>
      </c>
      <c r="AB64" s="22">
        <v>3.2</v>
      </c>
      <c r="AC64" s="23">
        <f t="shared" si="5"/>
        <v>150</v>
      </c>
      <c r="AD64" s="17">
        <v>27529</v>
      </c>
      <c r="AE64" s="17">
        <v>64530</v>
      </c>
      <c r="AF64" s="17">
        <v>30000</v>
      </c>
      <c r="AG64" s="17">
        <v>15480</v>
      </c>
      <c r="AH64" s="15" t="s">
        <v>42</v>
      </c>
    </row>
    <row r="65" spans="1:34">
      <c r="A65" s="13" t="str">
        <f t="shared" si="0"/>
        <v>OverStock</v>
      </c>
      <c r="B65" s="14" t="s">
        <v>454</v>
      </c>
      <c r="C65" s="15" t="s">
        <v>280</v>
      </c>
      <c r="D65" s="19">
        <f t="shared" si="1"/>
        <v>14.1</v>
      </c>
      <c r="E65" s="16" t="str">
        <f t="shared" si="2"/>
        <v>--</v>
      </c>
      <c r="F65" s="16">
        <f t="shared" si="3"/>
        <v>17.100000000000001</v>
      </c>
      <c r="G65" s="16" t="str">
        <f t="shared" si="4"/>
        <v>--</v>
      </c>
      <c r="H65" s="24" t="str">
        <f>IFERROR(VLOOKUP(B65,#REF!,8,FALSE),"")</f>
        <v/>
      </c>
      <c r="I65" s="17">
        <v>310000</v>
      </c>
      <c r="J65" s="17">
        <v>75000</v>
      </c>
      <c r="K65" s="24" t="str">
        <f>IFERROR(VLOOKUP(B65,#REF!,11,FALSE),"")</f>
        <v/>
      </c>
      <c r="L65" s="17">
        <v>255000</v>
      </c>
      <c r="M65" s="6" t="s">
        <v>757</v>
      </c>
      <c r="N65" s="18" t="str">
        <f>IFERROR(VLOOKUP(B65,#REF!,13,FALSE),"")</f>
        <v/>
      </c>
      <c r="O65" s="19" t="str">
        <f>IFERROR(VLOOKUP(B65,#REF!,14,FALSE),"")</f>
        <v/>
      </c>
      <c r="P65" s="19" t="str">
        <f>IFERROR(VLOOKUP(B65,#REF!,15,FALSE),"")</f>
        <v/>
      </c>
      <c r="Q65" s="19"/>
      <c r="R65" s="25" t="str">
        <f>IFERROR(VLOOKUP(B65,#REF!,16,FALSE),"")</f>
        <v/>
      </c>
      <c r="S65" s="17">
        <v>50000</v>
      </c>
      <c r="T65" s="17">
        <v>85000</v>
      </c>
      <c r="U65" s="17">
        <v>120000</v>
      </c>
      <c r="V65" s="17">
        <v>0</v>
      </c>
      <c r="W65" s="20">
        <v>565000</v>
      </c>
      <c r="X65" s="16">
        <v>31.2</v>
      </c>
      <c r="Y65" s="21" t="s">
        <v>40</v>
      </c>
      <c r="Z65" s="20">
        <v>18125</v>
      </c>
      <c r="AA65" s="17" t="s">
        <v>40</v>
      </c>
      <c r="AB65" s="22" t="s">
        <v>41</v>
      </c>
      <c r="AC65" s="23" t="str">
        <f t="shared" si="5"/>
        <v>E</v>
      </c>
      <c r="AD65" s="17">
        <v>0</v>
      </c>
      <c r="AE65" s="17">
        <v>0</v>
      </c>
      <c r="AF65" s="17">
        <v>0</v>
      </c>
      <c r="AG65" s="17">
        <v>0</v>
      </c>
      <c r="AH65" s="15" t="s">
        <v>42</v>
      </c>
    </row>
    <row r="66" spans="1:34">
      <c r="A66" s="13" t="str">
        <f t="shared" si="0"/>
        <v>OverStock</v>
      </c>
      <c r="B66" s="14" t="s">
        <v>238</v>
      </c>
      <c r="C66" s="15" t="s">
        <v>46</v>
      </c>
      <c r="D66" s="19">
        <f t="shared" si="1"/>
        <v>48</v>
      </c>
      <c r="E66" s="16">
        <f t="shared" si="2"/>
        <v>18</v>
      </c>
      <c r="F66" s="16">
        <f t="shared" si="3"/>
        <v>88</v>
      </c>
      <c r="G66" s="16">
        <f t="shared" si="4"/>
        <v>33</v>
      </c>
      <c r="H66" s="24" t="str">
        <f>IFERROR(VLOOKUP(B66,#REF!,8,FALSE),"")</f>
        <v/>
      </c>
      <c r="I66" s="17">
        <v>110000</v>
      </c>
      <c r="J66" s="17">
        <v>0</v>
      </c>
      <c r="K66" s="24" t="str">
        <f>IFERROR(VLOOKUP(B66,#REF!,11,FALSE),"")</f>
        <v/>
      </c>
      <c r="L66" s="17">
        <v>60000</v>
      </c>
      <c r="M66" s="6" t="s">
        <v>745</v>
      </c>
      <c r="N66" s="18" t="str">
        <f>IFERROR(VLOOKUP(B66,#REF!,13,FALSE),"")</f>
        <v/>
      </c>
      <c r="O66" s="19" t="str">
        <f>IFERROR(VLOOKUP(B66,#REF!,14,FALSE),"")</f>
        <v/>
      </c>
      <c r="P66" s="19" t="str">
        <f>IFERROR(VLOOKUP(B66,#REF!,15,FALSE),"")</f>
        <v/>
      </c>
      <c r="Q66" s="19"/>
      <c r="R66" s="25" t="str">
        <f>IFERROR(VLOOKUP(B66,#REF!,16,FALSE),"")</f>
        <v/>
      </c>
      <c r="S66" s="17">
        <v>0</v>
      </c>
      <c r="T66" s="17">
        <v>60000</v>
      </c>
      <c r="U66" s="17">
        <v>0</v>
      </c>
      <c r="V66" s="17">
        <v>0</v>
      </c>
      <c r="W66" s="20">
        <v>170000</v>
      </c>
      <c r="X66" s="16">
        <v>136</v>
      </c>
      <c r="Y66" s="21">
        <v>51</v>
      </c>
      <c r="Z66" s="20">
        <v>1250</v>
      </c>
      <c r="AA66" s="17">
        <v>3333</v>
      </c>
      <c r="AB66" s="22">
        <v>2.7</v>
      </c>
      <c r="AC66" s="23">
        <f t="shared" si="5"/>
        <v>150</v>
      </c>
      <c r="AD66" s="17">
        <v>0</v>
      </c>
      <c r="AE66" s="17">
        <v>15000</v>
      </c>
      <c r="AF66" s="17">
        <v>20000</v>
      </c>
      <c r="AG66" s="17">
        <v>5000</v>
      </c>
      <c r="AH66" s="15" t="s">
        <v>42</v>
      </c>
    </row>
    <row r="67" spans="1:34">
      <c r="A67" s="13" t="str">
        <f t="shared" si="0"/>
        <v>OverStock</v>
      </c>
      <c r="B67" s="14" t="s">
        <v>305</v>
      </c>
      <c r="C67" s="15" t="s">
        <v>280</v>
      </c>
      <c r="D67" s="19">
        <f t="shared" si="1"/>
        <v>13.8</v>
      </c>
      <c r="E67" s="16">
        <f t="shared" si="2"/>
        <v>49.1</v>
      </c>
      <c r="F67" s="16">
        <f t="shared" si="3"/>
        <v>11.9</v>
      </c>
      <c r="G67" s="16">
        <f t="shared" si="4"/>
        <v>42.5</v>
      </c>
      <c r="H67" s="24" t="str">
        <f>IFERROR(VLOOKUP(B67,#REF!,8,FALSE),"")</f>
        <v/>
      </c>
      <c r="I67" s="17">
        <v>585000</v>
      </c>
      <c r="J67" s="17">
        <v>0</v>
      </c>
      <c r="K67" s="24" t="str">
        <f>IFERROR(VLOOKUP(B67,#REF!,11,FALSE),"")</f>
        <v/>
      </c>
      <c r="L67" s="17">
        <v>676000</v>
      </c>
      <c r="M67" s="6" t="s">
        <v>748</v>
      </c>
      <c r="N67" s="18" t="str">
        <f>IFERROR(VLOOKUP(B67,#REF!,13,FALSE),"")</f>
        <v/>
      </c>
      <c r="O67" s="19" t="str">
        <f>IFERROR(VLOOKUP(B67,#REF!,14,FALSE),"")</f>
        <v/>
      </c>
      <c r="P67" s="19" t="str">
        <f>IFERROR(VLOOKUP(B67,#REF!,15,FALSE),"")</f>
        <v/>
      </c>
      <c r="Q67" s="19"/>
      <c r="R67" s="25" t="str">
        <f>IFERROR(VLOOKUP(B67,#REF!,16,FALSE),"")</f>
        <v/>
      </c>
      <c r="S67" s="17">
        <v>0</v>
      </c>
      <c r="T67" s="17">
        <v>676000</v>
      </c>
      <c r="U67" s="17">
        <v>0</v>
      </c>
      <c r="V67" s="17">
        <v>0</v>
      </c>
      <c r="W67" s="20">
        <v>1261000</v>
      </c>
      <c r="X67" s="16">
        <v>25.7</v>
      </c>
      <c r="Y67" s="21">
        <v>91.5</v>
      </c>
      <c r="Z67" s="20">
        <v>49125</v>
      </c>
      <c r="AA67" s="17">
        <v>13778</v>
      </c>
      <c r="AB67" s="22">
        <v>0.3</v>
      </c>
      <c r="AC67" s="23">
        <f t="shared" si="5"/>
        <v>50</v>
      </c>
      <c r="AD67" s="17">
        <v>88000</v>
      </c>
      <c r="AE67" s="17">
        <v>84000</v>
      </c>
      <c r="AF67" s="17">
        <v>0</v>
      </c>
      <c r="AG67" s="17">
        <v>0</v>
      </c>
      <c r="AH67" s="15" t="s">
        <v>42</v>
      </c>
    </row>
    <row r="68" spans="1:34">
      <c r="A68" s="13" t="str">
        <f t="shared" ref="A68:A131" si="6">IF(OR(Z68=0,LEN(Z68)=0)*OR(AA68=0,LEN(AA68)=0),IF(W68&gt;0,"ZeroZero","None"),IF(IF(LEN(X68)=0,0,X68)&gt;16,"OverStock",IF(Z68=0,"FCST","Normal")))</f>
        <v>OverStock</v>
      </c>
      <c r="B68" s="14" t="s">
        <v>327</v>
      </c>
      <c r="C68" s="15" t="s">
        <v>280</v>
      </c>
      <c r="D68" s="19">
        <f t="shared" ref="D68:D131" si="7">IF(Z68=0,"前八週無拉料",ROUND(L68/Z68,1))</f>
        <v>17.100000000000001</v>
      </c>
      <c r="E68" s="16">
        <f t="shared" ref="E68:E131" si="8">IF(OR(AA68=0,LEN(AA68)=0),"--",ROUND(L68/AA68,1))</f>
        <v>405.4</v>
      </c>
      <c r="F68" s="16">
        <f t="shared" ref="F68:F131" si="9">IF(Z68=0,"--",ROUND(I68/Z68,1))</f>
        <v>14.9</v>
      </c>
      <c r="G68" s="16">
        <f t="shared" ref="G68:G131" si="10">IF(OR(AA68=0,LEN(AA68)=0),"--",ROUND(I68/AA68,1))</f>
        <v>351.4</v>
      </c>
      <c r="H68" s="24" t="str">
        <f>IFERROR(VLOOKUP(B68,#REF!,8,FALSE),"")</f>
        <v/>
      </c>
      <c r="I68" s="17">
        <v>117000</v>
      </c>
      <c r="J68" s="17">
        <v>63000</v>
      </c>
      <c r="K68" s="24" t="str">
        <f>IFERROR(VLOOKUP(B68,#REF!,11,FALSE),"")</f>
        <v/>
      </c>
      <c r="L68" s="17">
        <v>135000</v>
      </c>
      <c r="M68" s="6" t="s">
        <v>751</v>
      </c>
      <c r="N68" s="18" t="str">
        <f>IFERROR(VLOOKUP(B68,#REF!,13,FALSE),"")</f>
        <v/>
      </c>
      <c r="O68" s="19" t="str">
        <f>IFERROR(VLOOKUP(B68,#REF!,14,FALSE),"")</f>
        <v/>
      </c>
      <c r="P68" s="19" t="str">
        <f>IFERROR(VLOOKUP(B68,#REF!,15,FALSE),"")</f>
        <v/>
      </c>
      <c r="Q68" s="19"/>
      <c r="R68" s="25" t="str">
        <f>IFERROR(VLOOKUP(B68,#REF!,16,FALSE),"")</f>
        <v/>
      </c>
      <c r="S68" s="17">
        <v>0</v>
      </c>
      <c r="T68" s="17">
        <v>135000</v>
      </c>
      <c r="U68" s="17">
        <v>0</v>
      </c>
      <c r="V68" s="17">
        <v>0</v>
      </c>
      <c r="W68" s="20">
        <v>252000</v>
      </c>
      <c r="X68" s="16">
        <v>32</v>
      </c>
      <c r="Y68" s="21">
        <v>756.8</v>
      </c>
      <c r="Z68" s="20">
        <v>7875</v>
      </c>
      <c r="AA68" s="17">
        <v>333</v>
      </c>
      <c r="AB68" s="22">
        <v>0</v>
      </c>
      <c r="AC68" s="23">
        <f t="shared" ref="AC68:AC131" si="11">IF($AB68="E","E",IF($AB68="F","F",IF($AB68&lt;0.5,50,IF($AB68&lt;2,100,150))))</f>
        <v>50</v>
      </c>
      <c r="AD68" s="17">
        <v>3000</v>
      </c>
      <c r="AE68" s="17">
        <v>0</v>
      </c>
      <c r="AF68" s="17">
        <v>9000</v>
      </c>
      <c r="AG68" s="17">
        <v>27000</v>
      </c>
      <c r="AH68" s="15" t="s">
        <v>42</v>
      </c>
    </row>
    <row r="69" spans="1:34">
      <c r="A69" s="13" t="str">
        <f t="shared" si="6"/>
        <v>ZeroZero</v>
      </c>
      <c r="B69" s="14" t="s">
        <v>591</v>
      </c>
      <c r="C69" s="15" t="s">
        <v>277</v>
      </c>
      <c r="D69" s="19" t="str">
        <f t="shared" si="7"/>
        <v>前八週無拉料</v>
      </c>
      <c r="E69" s="16" t="str">
        <f t="shared" si="8"/>
        <v>--</v>
      </c>
      <c r="F69" s="16" t="str">
        <f t="shared" si="9"/>
        <v>--</v>
      </c>
      <c r="G69" s="16" t="str">
        <f t="shared" si="10"/>
        <v>--</v>
      </c>
      <c r="H69" s="24" t="str">
        <f>IFERROR(VLOOKUP(B69,#REF!,8,FALSE),"")</f>
        <v/>
      </c>
      <c r="I69" s="17">
        <v>0</v>
      </c>
      <c r="J69" s="17">
        <v>0</v>
      </c>
      <c r="K69" s="24" t="str">
        <f>IFERROR(VLOOKUP(B69,#REF!,11,FALSE),"")</f>
        <v/>
      </c>
      <c r="L69" s="17">
        <v>510000</v>
      </c>
      <c r="M69" s="6" t="s">
        <v>747</v>
      </c>
      <c r="N69" s="18" t="str">
        <f>IFERROR(VLOOKUP(B69,#REF!,13,FALSE),"")</f>
        <v/>
      </c>
      <c r="O69" s="19" t="str">
        <f>IFERROR(VLOOKUP(B69,#REF!,14,FALSE),"")</f>
        <v/>
      </c>
      <c r="P69" s="19" t="str">
        <f>IFERROR(VLOOKUP(B69,#REF!,15,FALSE),"")</f>
        <v/>
      </c>
      <c r="Q69" s="19"/>
      <c r="R69" s="25" t="str">
        <f>IFERROR(VLOOKUP(B69,#REF!,16,FALSE),"")</f>
        <v/>
      </c>
      <c r="S69" s="17">
        <v>0</v>
      </c>
      <c r="T69" s="17">
        <v>510000</v>
      </c>
      <c r="U69" s="17">
        <v>0</v>
      </c>
      <c r="V69" s="17">
        <v>0</v>
      </c>
      <c r="W69" s="20">
        <v>510000</v>
      </c>
      <c r="X69" s="16" t="s">
        <v>40</v>
      </c>
      <c r="Y69" s="21" t="s">
        <v>40</v>
      </c>
      <c r="Z69" s="20">
        <v>0</v>
      </c>
      <c r="AA69" s="17" t="s">
        <v>40</v>
      </c>
      <c r="AB69" s="22" t="s">
        <v>41</v>
      </c>
      <c r="AC69" s="23" t="str">
        <f t="shared" si="11"/>
        <v>E</v>
      </c>
      <c r="AD69" s="17">
        <v>0</v>
      </c>
      <c r="AE69" s="17">
        <v>0</v>
      </c>
      <c r="AF69" s="17">
        <v>0</v>
      </c>
      <c r="AG69" s="17">
        <v>0</v>
      </c>
      <c r="AH69" s="15" t="s">
        <v>42</v>
      </c>
    </row>
    <row r="70" spans="1:34">
      <c r="A70" s="13" t="str">
        <f t="shared" si="6"/>
        <v>OverStock</v>
      </c>
      <c r="B70" s="14" t="s">
        <v>93</v>
      </c>
      <c r="C70" s="15" t="s">
        <v>46</v>
      </c>
      <c r="D70" s="19">
        <f t="shared" si="7"/>
        <v>11.4</v>
      </c>
      <c r="E70" s="16">
        <f t="shared" si="8"/>
        <v>18</v>
      </c>
      <c r="F70" s="16">
        <f t="shared" si="9"/>
        <v>19.8</v>
      </c>
      <c r="G70" s="16">
        <f t="shared" si="10"/>
        <v>31.2</v>
      </c>
      <c r="H70" s="24" t="str">
        <f>IFERROR(VLOOKUP(B70,#REF!,8,FALSE),"")</f>
        <v/>
      </c>
      <c r="I70" s="17">
        <v>260000</v>
      </c>
      <c r="J70" s="17">
        <v>120000</v>
      </c>
      <c r="K70" s="24" t="str">
        <f>IFERROR(VLOOKUP(B70,#REF!,11,FALSE),"")</f>
        <v/>
      </c>
      <c r="L70" s="17">
        <v>150000</v>
      </c>
      <c r="M70" s="6" t="s">
        <v>745</v>
      </c>
      <c r="N70" s="18" t="str">
        <f>IFERROR(VLOOKUP(B70,#REF!,13,FALSE),"")</f>
        <v/>
      </c>
      <c r="O70" s="19" t="str">
        <f>IFERROR(VLOOKUP(B70,#REF!,14,FALSE),"")</f>
        <v/>
      </c>
      <c r="P70" s="19" t="str">
        <f>IFERROR(VLOOKUP(B70,#REF!,15,FALSE),"")</f>
        <v/>
      </c>
      <c r="Q70" s="19"/>
      <c r="R70" s="25" t="str">
        <f>IFERROR(VLOOKUP(B70,#REF!,16,FALSE),"")</f>
        <v/>
      </c>
      <c r="S70" s="17">
        <v>0</v>
      </c>
      <c r="T70" s="17">
        <v>150000</v>
      </c>
      <c r="U70" s="17">
        <v>0</v>
      </c>
      <c r="V70" s="17">
        <v>0</v>
      </c>
      <c r="W70" s="20">
        <v>410000</v>
      </c>
      <c r="X70" s="16">
        <v>31.2</v>
      </c>
      <c r="Y70" s="21">
        <v>49.2</v>
      </c>
      <c r="Z70" s="20">
        <v>13125</v>
      </c>
      <c r="AA70" s="17">
        <v>8333</v>
      </c>
      <c r="AB70" s="22">
        <v>0.6</v>
      </c>
      <c r="AC70" s="23">
        <f t="shared" si="11"/>
        <v>100</v>
      </c>
      <c r="AD70" s="17">
        <v>0</v>
      </c>
      <c r="AE70" s="17">
        <v>39000</v>
      </c>
      <c r="AF70" s="17">
        <v>60000</v>
      </c>
      <c r="AG70" s="17">
        <v>36000</v>
      </c>
      <c r="AH70" s="15" t="s">
        <v>42</v>
      </c>
    </row>
    <row r="71" spans="1:34">
      <c r="A71" s="13" t="str">
        <f t="shared" si="6"/>
        <v>OverStock</v>
      </c>
      <c r="B71" s="14" t="s">
        <v>77</v>
      </c>
      <c r="C71" s="15" t="s">
        <v>46</v>
      </c>
      <c r="D71" s="19">
        <f t="shared" si="7"/>
        <v>12.5</v>
      </c>
      <c r="E71" s="16">
        <f t="shared" si="8"/>
        <v>9.6999999999999993</v>
      </c>
      <c r="F71" s="16">
        <f t="shared" si="9"/>
        <v>16.5</v>
      </c>
      <c r="G71" s="16">
        <f t="shared" si="10"/>
        <v>12.9</v>
      </c>
      <c r="H71" s="24" t="str">
        <f>IFERROR(VLOOKUP(B71,#REF!,8,FALSE),"")</f>
        <v/>
      </c>
      <c r="I71" s="17">
        <v>210000</v>
      </c>
      <c r="J71" s="17">
        <v>120000</v>
      </c>
      <c r="K71" s="24" t="str">
        <f>IFERROR(VLOOKUP(B71,#REF!,11,FALSE),"")</f>
        <v/>
      </c>
      <c r="L71" s="17">
        <v>159000</v>
      </c>
      <c r="M71" s="6" t="s">
        <v>745</v>
      </c>
      <c r="N71" s="18" t="str">
        <f>IFERROR(VLOOKUP(B71,#REF!,13,FALSE),"")</f>
        <v/>
      </c>
      <c r="O71" s="19" t="str">
        <f>IFERROR(VLOOKUP(B71,#REF!,14,FALSE),"")</f>
        <v/>
      </c>
      <c r="P71" s="19" t="str">
        <f>IFERROR(VLOOKUP(B71,#REF!,15,FALSE),"")</f>
        <v/>
      </c>
      <c r="Q71" s="19"/>
      <c r="R71" s="25" t="str">
        <f>IFERROR(VLOOKUP(B71,#REF!,16,FALSE),"")</f>
        <v/>
      </c>
      <c r="S71" s="17">
        <v>0</v>
      </c>
      <c r="T71" s="17">
        <v>159000</v>
      </c>
      <c r="U71" s="17">
        <v>0</v>
      </c>
      <c r="V71" s="17">
        <v>0</v>
      </c>
      <c r="W71" s="20">
        <v>369000</v>
      </c>
      <c r="X71" s="16">
        <v>28.9</v>
      </c>
      <c r="Y71" s="21">
        <v>22.6</v>
      </c>
      <c r="Z71" s="20">
        <v>12750</v>
      </c>
      <c r="AA71" s="17">
        <v>16333</v>
      </c>
      <c r="AB71" s="22">
        <v>1.3</v>
      </c>
      <c r="AC71" s="23">
        <f t="shared" si="11"/>
        <v>100</v>
      </c>
      <c r="AD71" s="17">
        <v>0</v>
      </c>
      <c r="AE71" s="17">
        <v>111000</v>
      </c>
      <c r="AF71" s="17">
        <v>57000</v>
      </c>
      <c r="AG71" s="17">
        <v>24000</v>
      </c>
      <c r="AH71" s="15" t="s">
        <v>42</v>
      </c>
    </row>
    <row r="72" spans="1:34">
      <c r="A72" s="13" t="str">
        <f t="shared" si="6"/>
        <v>OverStock</v>
      </c>
      <c r="B72" s="14" t="s">
        <v>230</v>
      </c>
      <c r="C72" s="15" t="s">
        <v>46</v>
      </c>
      <c r="D72" s="19">
        <f t="shared" si="7"/>
        <v>16</v>
      </c>
      <c r="E72" s="16">
        <f t="shared" si="8"/>
        <v>10.199999999999999</v>
      </c>
      <c r="F72" s="16">
        <f t="shared" si="9"/>
        <v>12</v>
      </c>
      <c r="G72" s="16">
        <f t="shared" si="10"/>
        <v>7.6</v>
      </c>
      <c r="H72" s="24" t="str">
        <f>IFERROR(VLOOKUP(B72,#REF!,8,FALSE),"")</f>
        <v/>
      </c>
      <c r="I72" s="17">
        <v>15000</v>
      </c>
      <c r="J72" s="17">
        <v>15000</v>
      </c>
      <c r="K72" s="24" t="str">
        <f>IFERROR(VLOOKUP(B72,#REF!,11,FALSE),"")</f>
        <v/>
      </c>
      <c r="L72" s="17">
        <v>20000</v>
      </c>
      <c r="M72" s="6" t="s">
        <v>745</v>
      </c>
      <c r="N72" s="18" t="str">
        <f>IFERROR(VLOOKUP(B72,#REF!,13,FALSE),"")</f>
        <v/>
      </c>
      <c r="O72" s="19" t="str">
        <f>IFERROR(VLOOKUP(B72,#REF!,14,FALSE),"")</f>
        <v/>
      </c>
      <c r="P72" s="19" t="str">
        <f>IFERROR(VLOOKUP(B72,#REF!,15,FALSE),"")</f>
        <v/>
      </c>
      <c r="Q72" s="19"/>
      <c r="R72" s="25" t="str">
        <f>IFERROR(VLOOKUP(B72,#REF!,16,FALSE),"")</f>
        <v/>
      </c>
      <c r="S72" s="17">
        <v>0</v>
      </c>
      <c r="T72" s="17">
        <v>20000</v>
      </c>
      <c r="U72" s="17">
        <v>0</v>
      </c>
      <c r="V72" s="17">
        <v>0</v>
      </c>
      <c r="W72" s="20">
        <v>35000</v>
      </c>
      <c r="X72" s="16">
        <v>28</v>
      </c>
      <c r="Y72" s="21">
        <v>17.8</v>
      </c>
      <c r="Z72" s="20">
        <v>1250</v>
      </c>
      <c r="AA72" s="17">
        <v>1962</v>
      </c>
      <c r="AB72" s="22">
        <v>1.6</v>
      </c>
      <c r="AC72" s="23">
        <f t="shared" si="11"/>
        <v>100</v>
      </c>
      <c r="AD72" s="17">
        <v>0</v>
      </c>
      <c r="AE72" s="17">
        <v>9604</v>
      </c>
      <c r="AF72" s="17">
        <v>8046</v>
      </c>
      <c r="AG72" s="17">
        <v>2350</v>
      </c>
      <c r="AH72" s="15" t="s">
        <v>42</v>
      </c>
    </row>
    <row r="73" spans="1:34">
      <c r="A73" s="13" t="str">
        <f t="shared" si="6"/>
        <v>OverStock</v>
      </c>
      <c r="B73" s="14" t="s">
        <v>108</v>
      </c>
      <c r="C73" s="15" t="s">
        <v>46</v>
      </c>
      <c r="D73" s="19">
        <f t="shared" si="7"/>
        <v>42</v>
      </c>
      <c r="E73" s="16">
        <f t="shared" si="8"/>
        <v>17.7</v>
      </c>
      <c r="F73" s="16">
        <f t="shared" si="9"/>
        <v>26.7</v>
      </c>
      <c r="G73" s="16">
        <f t="shared" si="10"/>
        <v>11.2</v>
      </c>
      <c r="H73" s="24" t="str">
        <f>IFERROR(VLOOKUP(B73,#REF!,8,FALSE),"")</f>
        <v/>
      </c>
      <c r="I73" s="17">
        <v>100000</v>
      </c>
      <c r="J73" s="17">
        <v>50000</v>
      </c>
      <c r="K73" s="24" t="str">
        <f>IFERROR(VLOOKUP(B73,#REF!,11,FALSE),"")</f>
        <v/>
      </c>
      <c r="L73" s="17">
        <v>157540</v>
      </c>
      <c r="M73" s="6" t="s">
        <v>745</v>
      </c>
      <c r="N73" s="18" t="str">
        <f>IFERROR(VLOOKUP(B73,#REF!,13,FALSE),"")</f>
        <v/>
      </c>
      <c r="O73" s="19" t="str">
        <f>IFERROR(VLOOKUP(B73,#REF!,14,FALSE),"")</f>
        <v/>
      </c>
      <c r="P73" s="19" t="str">
        <f>IFERROR(VLOOKUP(B73,#REF!,15,FALSE),"")</f>
        <v/>
      </c>
      <c r="Q73" s="19"/>
      <c r="R73" s="25" t="str">
        <f>IFERROR(VLOOKUP(B73,#REF!,16,FALSE),"")</f>
        <v/>
      </c>
      <c r="S73" s="17">
        <v>0</v>
      </c>
      <c r="T73" s="17">
        <v>157540</v>
      </c>
      <c r="U73" s="17">
        <v>0</v>
      </c>
      <c r="V73" s="17">
        <v>0</v>
      </c>
      <c r="W73" s="20">
        <v>257540</v>
      </c>
      <c r="X73" s="16">
        <v>68.7</v>
      </c>
      <c r="Y73" s="21">
        <v>29</v>
      </c>
      <c r="Z73" s="20">
        <v>3750</v>
      </c>
      <c r="AA73" s="17">
        <v>8889</v>
      </c>
      <c r="AB73" s="22">
        <v>2.4</v>
      </c>
      <c r="AC73" s="23">
        <f t="shared" si="11"/>
        <v>150</v>
      </c>
      <c r="AD73" s="17">
        <v>0</v>
      </c>
      <c r="AE73" s="17">
        <v>20000</v>
      </c>
      <c r="AF73" s="17">
        <v>75000</v>
      </c>
      <c r="AG73" s="17">
        <v>60000</v>
      </c>
      <c r="AH73" s="15" t="s">
        <v>42</v>
      </c>
    </row>
    <row r="74" spans="1:34">
      <c r="A74" s="13" t="str">
        <f t="shared" si="6"/>
        <v>ZeroZero</v>
      </c>
      <c r="B74" s="14" t="s">
        <v>153</v>
      </c>
      <c r="C74" s="15" t="s">
        <v>46</v>
      </c>
      <c r="D74" s="19" t="str">
        <f t="shared" si="7"/>
        <v>前八週無拉料</v>
      </c>
      <c r="E74" s="16" t="str">
        <f t="shared" si="8"/>
        <v>--</v>
      </c>
      <c r="F74" s="16" t="str">
        <f t="shared" si="9"/>
        <v>--</v>
      </c>
      <c r="G74" s="16" t="str">
        <f t="shared" si="10"/>
        <v>--</v>
      </c>
      <c r="H74" s="24" t="str">
        <f>IFERROR(VLOOKUP(B74,#REF!,8,FALSE),"")</f>
        <v/>
      </c>
      <c r="I74" s="17">
        <v>0</v>
      </c>
      <c r="J74" s="17">
        <v>0</v>
      </c>
      <c r="K74" s="24" t="str">
        <f>IFERROR(VLOOKUP(B74,#REF!,11,FALSE),"")</f>
        <v/>
      </c>
      <c r="L74" s="17">
        <v>25000</v>
      </c>
      <c r="M74" s="6" t="s">
        <v>745</v>
      </c>
      <c r="N74" s="18" t="str">
        <f>IFERROR(VLOOKUP(B74,#REF!,13,FALSE),"")</f>
        <v/>
      </c>
      <c r="O74" s="19" t="str">
        <f>IFERROR(VLOOKUP(B74,#REF!,14,FALSE),"")</f>
        <v/>
      </c>
      <c r="P74" s="19" t="str">
        <f>IFERROR(VLOOKUP(B74,#REF!,15,FALSE),"")</f>
        <v/>
      </c>
      <c r="Q74" s="19"/>
      <c r="R74" s="25" t="str">
        <f>IFERROR(VLOOKUP(B74,#REF!,16,FALSE),"")</f>
        <v/>
      </c>
      <c r="S74" s="17">
        <v>0</v>
      </c>
      <c r="T74" s="17">
        <v>25000</v>
      </c>
      <c r="U74" s="17">
        <v>0</v>
      </c>
      <c r="V74" s="17">
        <v>0</v>
      </c>
      <c r="W74" s="20">
        <v>25000</v>
      </c>
      <c r="X74" s="16" t="s">
        <v>40</v>
      </c>
      <c r="Y74" s="21" t="s">
        <v>40</v>
      </c>
      <c r="Z74" s="20">
        <v>0</v>
      </c>
      <c r="AA74" s="17" t="s">
        <v>40</v>
      </c>
      <c r="AB74" s="22" t="s">
        <v>41</v>
      </c>
      <c r="AC74" s="23" t="str">
        <f t="shared" si="11"/>
        <v>E</v>
      </c>
      <c r="AD74" s="17">
        <v>0</v>
      </c>
      <c r="AE74" s="17">
        <v>0</v>
      </c>
      <c r="AF74" s="17">
        <v>0</v>
      </c>
      <c r="AG74" s="17">
        <v>0</v>
      </c>
      <c r="AH74" s="15" t="s">
        <v>42</v>
      </c>
    </row>
    <row r="75" spans="1:34">
      <c r="A75" s="13" t="str">
        <f t="shared" si="6"/>
        <v>OverStock</v>
      </c>
      <c r="B75" s="14" t="s">
        <v>114</v>
      </c>
      <c r="C75" s="15" t="s">
        <v>46</v>
      </c>
      <c r="D75" s="19">
        <f t="shared" si="7"/>
        <v>14.4</v>
      </c>
      <c r="E75" s="16" t="str">
        <f t="shared" si="8"/>
        <v>--</v>
      </c>
      <c r="F75" s="16">
        <f t="shared" si="9"/>
        <v>9.6</v>
      </c>
      <c r="G75" s="16" t="str">
        <f t="shared" si="10"/>
        <v>--</v>
      </c>
      <c r="H75" s="24" t="str">
        <f>IFERROR(VLOOKUP(B75,#REF!,8,FALSE),"")</f>
        <v/>
      </c>
      <c r="I75" s="17">
        <v>60000</v>
      </c>
      <c r="J75" s="17">
        <v>0</v>
      </c>
      <c r="K75" s="24" t="str">
        <f>IFERROR(VLOOKUP(B75,#REF!,11,FALSE),"")</f>
        <v/>
      </c>
      <c r="L75" s="17">
        <v>90000</v>
      </c>
      <c r="M75" s="6" t="s">
        <v>745</v>
      </c>
      <c r="N75" s="18" t="str">
        <f>IFERROR(VLOOKUP(B75,#REF!,13,FALSE),"")</f>
        <v/>
      </c>
      <c r="O75" s="19" t="str">
        <f>IFERROR(VLOOKUP(B75,#REF!,14,FALSE),"")</f>
        <v/>
      </c>
      <c r="P75" s="19" t="str">
        <f>IFERROR(VLOOKUP(B75,#REF!,15,FALSE),"")</f>
        <v/>
      </c>
      <c r="Q75" s="19"/>
      <c r="R75" s="25" t="str">
        <f>IFERROR(VLOOKUP(B75,#REF!,16,FALSE),"")</f>
        <v/>
      </c>
      <c r="S75" s="17">
        <v>0</v>
      </c>
      <c r="T75" s="17">
        <v>90000</v>
      </c>
      <c r="U75" s="17">
        <v>0</v>
      </c>
      <c r="V75" s="17">
        <v>0</v>
      </c>
      <c r="W75" s="20">
        <v>150000</v>
      </c>
      <c r="X75" s="16">
        <v>24</v>
      </c>
      <c r="Y75" s="21" t="s">
        <v>40</v>
      </c>
      <c r="Z75" s="20">
        <v>6250</v>
      </c>
      <c r="AA75" s="17" t="s">
        <v>40</v>
      </c>
      <c r="AB75" s="22" t="s">
        <v>41</v>
      </c>
      <c r="AC75" s="23" t="str">
        <f t="shared" si="11"/>
        <v>E</v>
      </c>
      <c r="AD75" s="17">
        <v>0</v>
      </c>
      <c r="AE75" s="17">
        <v>0</v>
      </c>
      <c r="AF75" s="17">
        <v>0</v>
      </c>
      <c r="AG75" s="17">
        <v>0</v>
      </c>
      <c r="AH75" s="15" t="s">
        <v>42</v>
      </c>
    </row>
    <row r="76" spans="1:34">
      <c r="A76" s="13" t="str">
        <f t="shared" si="6"/>
        <v>OverStock</v>
      </c>
      <c r="B76" s="14" t="s">
        <v>693</v>
      </c>
      <c r="C76" s="15" t="s">
        <v>277</v>
      </c>
      <c r="D76" s="19">
        <f t="shared" si="7"/>
        <v>8.3000000000000007</v>
      </c>
      <c r="E76" s="16" t="str">
        <f t="shared" si="8"/>
        <v>--</v>
      </c>
      <c r="F76" s="16">
        <f t="shared" si="9"/>
        <v>9.4</v>
      </c>
      <c r="G76" s="16" t="str">
        <f t="shared" si="10"/>
        <v>--</v>
      </c>
      <c r="H76" s="24" t="str">
        <f>IFERROR(VLOOKUP(B76,#REF!,8,FALSE),"")</f>
        <v/>
      </c>
      <c r="I76" s="17">
        <v>99000</v>
      </c>
      <c r="J76" s="17">
        <v>66000</v>
      </c>
      <c r="K76" s="24" t="str">
        <f>IFERROR(VLOOKUP(B76,#REF!,11,FALSE),"")</f>
        <v/>
      </c>
      <c r="L76" s="17">
        <v>87000</v>
      </c>
      <c r="M76" s="6" t="s">
        <v>746</v>
      </c>
      <c r="N76" s="18" t="str">
        <f>IFERROR(VLOOKUP(B76,#REF!,13,FALSE),"")</f>
        <v/>
      </c>
      <c r="O76" s="19" t="str">
        <f>IFERROR(VLOOKUP(B76,#REF!,14,FALSE),"")</f>
        <v/>
      </c>
      <c r="P76" s="19" t="str">
        <f>IFERROR(VLOOKUP(B76,#REF!,15,FALSE),"")</f>
        <v/>
      </c>
      <c r="Q76" s="19"/>
      <c r="R76" s="25" t="str">
        <f>IFERROR(VLOOKUP(B76,#REF!,16,FALSE),"")</f>
        <v/>
      </c>
      <c r="S76" s="17">
        <v>0</v>
      </c>
      <c r="T76" s="17">
        <v>87000</v>
      </c>
      <c r="U76" s="17">
        <v>0</v>
      </c>
      <c r="V76" s="17">
        <v>0</v>
      </c>
      <c r="W76" s="20">
        <v>186000</v>
      </c>
      <c r="X76" s="16">
        <v>17.7</v>
      </c>
      <c r="Y76" s="21" t="s">
        <v>40</v>
      </c>
      <c r="Z76" s="20">
        <v>10500</v>
      </c>
      <c r="AA76" s="17" t="s">
        <v>40</v>
      </c>
      <c r="AB76" s="22" t="s">
        <v>41</v>
      </c>
      <c r="AC76" s="23" t="str">
        <f t="shared" si="11"/>
        <v>E</v>
      </c>
      <c r="AD76" s="17">
        <v>0</v>
      </c>
      <c r="AE76" s="17">
        <v>0</v>
      </c>
      <c r="AF76" s="17">
        <v>0</v>
      </c>
      <c r="AG76" s="17">
        <v>0</v>
      </c>
      <c r="AH76" s="15" t="s">
        <v>42</v>
      </c>
    </row>
    <row r="77" spans="1:34">
      <c r="A77" s="13" t="str">
        <f t="shared" si="6"/>
        <v>OverStock</v>
      </c>
      <c r="B77" s="14" t="s">
        <v>421</v>
      </c>
      <c r="C77" s="15" t="s">
        <v>280</v>
      </c>
      <c r="D77" s="19">
        <f t="shared" si="7"/>
        <v>23.2</v>
      </c>
      <c r="E77" s="16">
        <f t="shared" si="8"/>
        <v>583.9</v>
      </c>
      <c r="F77" s="16">
        <f t="shared" si="9"/>
        <v>43.2</v>
      </c>
      <c r="G77" s="16">
        <f t="shared" si="10"/>
        <v>1087.2</v>
      </c>
      <c r="H77" s="24" t="str">
        <f>IFERROR(VLOOKUP(B77,#REF!,8,FALSE),"")</f>
        <v/>
      </c>
      <c r="I77" s="17">
        <v>162000</v>
      </c>
      <c r="J77" s="17">
        <v>21000</v>
      </c>
      <c r="K77" s="24" t="str">
        <f>IFERROR(VLOOKUP(B77,#REF!,11,FALSE),"")</f>
        <v/>
      </c>
      <c r="L77" s="17">
        <v>87000</v>
      </c>
      <c r="M77" s="6" t="s">
        <v>752</v>
      </c>
      <c r="N77" s="18" t="str">
        <f>IFERROR(VLOOKUP(B77,#REF!,13,FALSE),"")</f>
        <v/>
      </c>
      <c r="O77" s="19" t="str">
        <f>IFERROR(VLOOKUP(B77,#REF!,14,FALSE),"")</f>
        <v/>
      </c>
      <c r="P77" s="19" t="str">
        <f>IFERROR(VLOOKUP(B77,#REF!,15,FALSE),"")</f>
        <v/>
      </c>
      <c r="Q77" s="19"/>
      <c r="R77" s="25" t="str">
        <f>IFERROR(VLOOKUP(B77,#REF!,16,FALSE),"")</f>
        <v/>
      </c>
      <c r="S77" s="17">
        <v>0</v>
      </c>
      <c r="T77" s="17">
        <v>72000</v>
      </c>
      <c r="U77" s="17">
        <v>15000</v>
      </c>
      <c r="V77" s="17">
        <v>0</v>
      </c>
      <c r="W77" s="20">
        <v>249000</v>
      </c>
      <c r="X77" s="16">
        <v>66.400000000000006</v>
      </c>
      <c r="Y77" s="21">
        <v>1671.1</v>
      </c>
      <c r="Z77" s="20">
        <v>3750</v>
      </c>
      <c r="AA77" s="17">
        <v>149</v>
      </c>
      <c r="AB77" s="22">
        <v>0</v>
      </c>
      <c r="AC77" s="23">
        <f t="shared" si="11"/>
        <v>50</v>
      </c>
      <c r="AD77" s="17">
        <v>101</v>
      </c>
      <c r="AE77" s="17">
        <v>1140</v>
      </c>
      <c r="AF77" s="17">
        <v>100</v>
      </c>
      <c r="AG77" s="17">
        <v>850</v>
      </c>
      <c r="AH77" s="15" t="s">
        <v>42</v>
      </c>
    </row>
    <row r="78" spans="1:34">
      <c r="A78" s="13" t="str">
        <f t="shared" si="6"/>
        <v>OverStock</v>
      </c>
      <c r="B78" s="14" t="s">
        <v>717</v>
      </c>
      <c r="C78" s="15" t="s">
        <v>709</v>
      </c>
      <c r="D78" s="19">
        <f t="shared" si="7"/>
        <v>28</v>
      </c>
      <c r="E78" s="16" t="str">
        <f t="shared" si="8"/>
        <v>--</v>
      </c>
      <c r="F78" s="16">
        <f t="shared" si="9"/>
        <v>46.9</v>
      </c>
      <c r="G78" s="16" t="str">
        <f t="shared" si="10"/>
        <v>--</v>
      </c>
      <c r="H78" s="24" t="str">
        <f>IFERROR(VLOOKUP(B78,#REF!,8,FALSE),"")</f>
        <v/>
      </c>
      <c r="I78" s="17">
        <v>205000</v>
      </c>
      <c r="J78" s="17">
        <v>0</v>
      </c>
      <c r="K78" s="24" t="str">
        <f>IFERROR(VLOOKUP(B78,#REF!,11,FALSE),"")</f>
        <v/>
      </c>
      <c r="L78" s="17">
        <v>122500</v>
      </c>
      <c r="M78" s="6" t="s">
        <v>748</v>
      </c>
      <c r="N78" s="18" t="str">
        <f>IFERROR(VLOOKUP(B78,#REF!,13,FALSE),"")</f>
        <v/>
      </c>
      <c r="O78" s="19" t="str">
        <f>IFERROR(VLOOKUP(B78,#REF!,14,FALSE),"")</f>
        <v/>
      </c>
      <c r="P78" s="19" t="str">
        <f>IFERROR(VLOOKUP(B78,#REF!,15,FALSE),"")</f>
        <v/>
      </c>
      <c r="Q78" s="19"/>
      <c r="R78" s="25" t="str">
        <f>IFERROR(VLOOKUP(B78,#REF!,16,FALSE),"")</f>
        <v/>
      </c>
      <c r="S78" s="17">
        <v>35000</v>
      </c>
      <c r="T78" s="17">
        <v>0</v>
      </c>
      <c r="U78" s="17">
        <v>87500</v>
      </c>
      <c r="V78" s="17">
        <v>0</v>
      </c>
      <c r="W78" s="20">
        <v>327500</v>
      </c>
      <c r="X78" s="16">
        <v>74.900000000000006</v>
      </c>
      <c r="Y78" s="21" t="s">
        <v>40</v>
      </c>
      <c r="Z78" s="20">
        <v>4375</v>
      </c>
      <c r="AA78" s="17" t="s">
        <v>40</v>
      </c>
      <c r="AB78" s="22" t="s">
        <v>41</v>
      </c>
      <c r="AC78" s="23" t="str">
        <f t="shared" si="11"/>
        <v>E</v>
      </c>
      <c r="AD78" s="17">
        <v>0</v>
      </c>
      <c r="AE78" s="17">
        <v>0</v>
      </c>
      <c r="AF78" s="17">
        <v>0</v>
      </c>
      <c r="AG78" s="17">
        <v>0</v>
      </c>
      <c r="AH78" s="15" t="s">
        <v>42</v>
      </c>
    </row>
    <row r="79" spans="1:34">
      <c r="A79" s="13" t="str">
        <f t="shared" si="6"/>
        <v>OverStock</v>
      </c>
      <c r="B79" s="14" t="s">
        <v>174</v>
      </c>
      <c r="C79" s="15" t="s">
        <v>46</v>
      </c>
      <c r="D79" s="19">
        <f t="shared" si="7"/>
        <v>27.2</v>
      </c>
      <c r="E79" s="16">
        <f t="shared" si="8"/>
        <v>21.9</v>
      </c>
      <c r="F79" s="16">
        <f t="shared" si="9"/>
        <v>16</v>
      </c>
      <c r="G79" s="16">
        <f t="shared" si="10"/>
        <v>12.9</v>
      </c>
      <c r="H79" s="24" t="str">
        <f>IFERROR(VLOOKUP(B79,#REF!,8,FALSE),"")</f>
        <v/>
      </c>
      <c r="I79" s="17">
        <v>50000</v>
      </c>
      <c r="J79" s="17">
        <v>50000</v>
      </c>
      <c r="K79" s="24" t="str">
        <f>IFERROR(VLOOKUP(B79,#REF!,11,FALSE),"")</f>
        <v/>
      </c>
      <c r="L79" s="17">
        <v>85000</v>
      </c>
      <c r="M79" s="6" t="s">
        <v>745</v>
      </c>
      <c r="N79" s="18" t="str">
        <f>IFERROR(VLOOKUP(B79,#REF!,13,FALSE),"")</f>
        <v/>
      </c>
      <c r="O79" s="19" t="str">
        <f>IFERROR(VLOOKUP(B79,#REF!,14,FALSE),"")</f>
        <v/>
      </c>
      <c r="P79" s="19" t="str">
        <f>IFERROR(VLOOKUP(B79,#REF!,15,FALSE),"")</f>
        <v/>
      </c>
      <c r="Q79" s="19"/>
      <c r="R79" s="25" t="str">
        <f>IFERROR(VLOOKUP(B79,#REF!,16,FALSE),"")</f>
        <v/>
      </c>
      <c r="S79" s="17">
        <v>0</v>
      </c>
      <c r="T79" s="17">
        <v>85000</v>
      </c>
      <c r="U79" s="17">
        <v>0</v>
      </c>
      <c r="V79" s="17">
        <v>0</v>
      </c>
      <c r="W79" s="20">
        <v>135000</v>
      </c>
      <c r="X79" s="16">
        <v>43.2</v>
      </c>
      <c r="Y79" s="21">
        <v>34.700000000000003</v>
      </c>
      <c r="Z79" s="20">
        <v>3125</v>
      </c>
      <c r="AA79" s="17">
        <v>3889</v>
      </c>
      <c r="AB79" s="22">
        <v>1.2</v>
      </c>
      <c r="AC79" s="23">
        <f t="shared" si="11"/>
        <v>100</v>
      </c>
      <c r="AD79" s="17">
        <v>0</v>
      </c>
      <c r="AE79" s="17">
        <v>10000</v>
      </c>
      <c r="AF79" s="17">
        <v>40000</v>
      </c>
      <c r="AG79" s="17">
        <v>35000</v>
      </c>
      <c r="AH79" s="15" t="s">
        <v>42</v>
      </c>
    </row>
    <row r="80" spans="1:34">
      <c r="A80" s="13" t="str">
        <f t="shared" si="6"/>
        <v>ZeroZero</v>
      </c>
      <c r="B80" s="14" t="s">
        <v>183</v>
      </c>
      <c r="C80" s="15" t="s">
        <v>46</v>
      </c>
      <c r="D80" s="19" t="str">
        <f t="shared" si="7"/>
        <v>前八週無拉料</v>
      </c>
      <c r="E80" s="16" t="str">
        <f t="shared" si="8"/>
        <v>--</v>
      </c>
      <c r="F80" s="16" t="str">
        <f t="shared" si="9"/>
        <v>--</v>
      </c>
      <c r="G80" s="16" t="str">
        <f t="shared" si="10"/>
        <v>--</v>
      </c>
      <c r="H80" s="24" t="str">
        <f>IFERROR(VLOOKUP(B80,#REF!,8,FALSE),"")</f>
        <v/>
      </c>
      <c r="I80" s="17">
        <v>0</v>
      </c>
      <c r="J80" s="17">
        <v>0</v>
      </c>
      <c r="K80" s="24" t="str">
        <f>IFERROR(VLOOKUP(B80,#REF!,11,FALSE),"")</f>
        <v/>
      </c>
      <c r="L80" s="17">
        <v>10500</v>
      </c>
      <c r="M80" s="6" t="s">
        <v>745</v>
      </c>
      <c r="N80" s="18" t="str">
        <f>IFERROR(VLOOKUP(B80,#REF!,13,FALSE),"")</f>
        <v/>
      </c>
      <c r="O80" s="19" t="str">
        <f>IFERROR(VLOOKUP(B80,#REF!,14,FALSE),"")</f>
        <v/>
      </c>
      <c r="P80" s="19" t="str">
        <f>IFERROR(VLOOKUP(B80,#REF!,15,FALSE),"")</f>
        <v/>
      </c>
      <c r="Q80" s="19"/>
      <c r="R80" s="25" t="str">
        <f>IFERROR(VLOOKUP(B80,#REF!,16,FALSE),"")</f>
        <v/>
      </c>
      <c r="S80" s="17">
        <v>0</v>
      </c>
      <c r="T80" s="17">
        <v>10500</v>
      </c>
      <c r="U80" s="17">
        <v>0</v>
      </c>
      <c r="V80" s="17">
        <v>0</v>
      </c>
      <c r="W80" s="20">
        <v>10500</v>
      </c>
      <c r="X80" s="16" t="s">
        <v>40</v>
      </c>
      <c r="Y80" s="21" t="s">
        <v>40</v>
      </c>
      <c r="Z80" s="20">
        <v>0</v>
      </c>
      <c r="AA80" s="17" t="s">
        <v>40</v>
      </c>
      <c r="AB80" s="22" t="s">
        <v>41</v>
      </c>
      <c r="AC80" s="23" t="str">
        <f t="shared" si="11"/>
        <v>E</v>
      </c>
      <c r="AD80" s="17">
        <v>0</v>
      </c>
      <c r="AE80" s="17">
        <v>0</v>
      </c>
      <c r="AF80" s="17">
        <v>0</v>
      </c>
      <c r="AG80" s="17">
        <v>0</v>
      </c>
      <c r="AH80" s="15" t="s">
        <v>42</v>
      </c>
    </row>
    <row r="81" spans="1:34">
      <c r="A81" s="13" t="str">
        <f t="shared" si="6"/>
        <v>OverStock</v>
      </c>
      <c r="B81" s="14" t="s">
        <v>335</v>
      </c>
      <c r="C81" s="15" t="s">
        <v>280</v>
      </c>
      <c r="D81" s="19">
        <f t="shared" si="7"/>
        <v>14</v>
      </c>
      <c r="E81" s="16">
        <f t="shared" si="8"/>
        <v>9.9</v>
      </c>
      <c r="F81" s="16">
        <f t="shared" si="9"/>
        <v>45.3</v>
      </c>
      <c r="G81" s="16">
        <f t="shared" si="10"/>
        <v>32.1</v>
      </c>
      <c r="H81" s="24" t="str">
        <f>IFERROR(VLOOKUP(B81,#REF!,8,FALSE),"")</f>
        <v/>
      </c>
      <c r="I81" s="17">
        <v>204000</v>
      </c>
      <c r="J81" s="17">
        <v>0</v>
      </c>
      <c r="K81" s="24" t="str">
        <f>IFERROR(VLOOKUP(B81,#REF!,11,FALSE),"")</f>
        <v/>
      </c>
      <c r="L81" s="17">
        <v>63000</v>
      </c>
      <c r="M81" s="6" t="s">
        <v>753</v>
      </c>
      <c r="N81" s="18" t="str">
        <f>IFERROR(VLOOKUP(B81,#REF!,13,FALSE),"")</f>
        <v/>
      </c>
      <c r="O81" s="19" t="str">
        <f>IFERROR(VLOOKUP(B81,#REF!,14,FALSE),"")</f>
        <v/>
      </c>
      <c r="P81" s="19" t="str">
        <f>IFERROR(VLOOKUP(B81,#REF!,15,FALSE),"")</f>
        <v/>
      </c>
      <c r="Q81" s="19"/>
      <c r="R81" s="25" t="str">
        <f>IFERROR(VLOOKUP(B81,#REF!,16,FALSE),"")</f>
        <v/>
      </c>
      <c r="S81" s="17">
        <v>12000</v>
      </c>
      <c r="T81" s="17">
        <v>24000</v>
      </c>
      <c r="U81" s="17">
        <v>27000</v>
      </c>
      <c r="V81" s="17">
        <v>0</v>
      </c>
      <c r="W81" s="20">
        <v>267000</v>
      </c>
      <c r="X81" s="16">
        <v>59.3</v>
      </c>
      <c r="Y81" s="21">
        <v>42.1</v>
      </c>
      <c r="Z81" s="20">
        <v>4500</v>
      </c>
      <c r="AA81" s="17">
        <v>6349</v>
      </c>
      <c r="AB81" s="22">
        <v>1.4</v>
      </c>
      <c r="AC81" s="23">
        <f t="shared" si="11"/>
        <v>100</v>
      </c>
      <c r="AD81" s="17">
        <v>13600</v>
      </c>
      <c r="AE81" s="17">
        <v>19119</v>
      </c>
      <c r="AF81" s="17">
        <v>24430</v>
      </c>
      <c r="AG81" s="17">
        <v>13718</v>
      </c>
      <c r="AH81" s="15" t="s">
        <v>42</v>
      </c>
    </row>
    <row r="82" spans="1:34">
      <c r="A82" s="13" t="str">
        <f t="shared" si="6"/>
        <v>OverStock</v>
      </c>
      <c r="B82" s="14" t="s">
        <v>450</v>
      </c>
      <c r="C82" s="15" t="s">
        <v>280</v>
      </c>
      <c r="D82" s="19">
        <f t="shared" si="7"/>
        <v>108</v>
      </c>
      <c r="E82" s="16">
        <f t="shared" si="8"/>
        <v>12.1</v>
      </c>
      <c r="F82" s="16">
        <f t="shared" si="9"/>
        <v>60</v>
      </c>
      <c r="G82" s="16">
        <f t="shared" si="10"/>
        <v>6.7</v>
      </c>
      <c r="H82" s="24" t="str">
        <f>IFERROR(VLOOKUP(B82,#REF!,8,FALSE),"")</f>
        <v/>
      </c>
      <c r="I82" s="17">
        <v>45000</v>
      </c>
      <c r="J82" s="17">
        <v>0</v>
      </c>
      <c r="K82" s="24" t="str">
        <f>IFERROR(VLOOKUP(B82,#REF!,11,FALSE),"")</f>
        <v/>
      </c>
      <c r="L82" s="17">
        <v>81000</v>
      </c>
      <c r="M82" s="6" t="s">
        <v>748</v>
      </c>
      <c r="N82" s="18" t="str">
        <f>IFERROR(VLOOKUP(B82,#REF!,13,FALSE),"")</f>
        <v/>
      </c>
      <c r="O82" s="19" t="str">
        <f>IFERROR(VLOOKUP(B82,#REF!,14,FALSE),"")</f>
        <v/>
      </c>
      <c r="P82" s="19" t="str">
        <f>IFERROR(VLOOKUP(B82,#REF!,15,FALSE),"")</f>
        <v/>
      </c>
      <c r="Q82" s="19"/>
      <c r="R82" s="25" t="str">
        <f>IFERROR(VLOOKUP(B82,#REF!,16,FALSE),"")</f>
        <v/>
      </c>
      <c r="S82" s="17">
        <v>0</v>
      </c>
      <c r="T82" s="17">
        <v>75000</v>
      </c>
      <c r="U82" s="17">
        <v>6000</v>
      </c>
      <c r="V82" s="17">
        <v>0</v>
      </c>
      <c r="W82" s="20">
        <v>126000</v>
      </c>
      <c r="X82" s="16">
        <v>168</v>
      </c>
      <c r="Y82" s="21">
        <v>18.8</v>
      </c>
      <c r="Z82" s="20">
        <v>750</v>
      </c>
      <c r="AA82" s="17">
        <v>6692</v>
      </c>
      <c r="AB82" s="22">
        <v>8.9</v>
      </c>
      <c r="AC82" s="23">
        <f t="shared" si="11"/>
        <v>150</v>
      </c>
      <c r="AD82" s="17">
        <v>8944</v>
      </c>
      <c r="AE82" s="17">
        <v>40576</v>
      </c>
      <c r="AF82" s="17">
        <v>17940</v>
      </c>
      <c r="AG82" s="17">
        <v>11368</v>
      </c>
      <c r="AH82" s="15" t="s">
        <v>42</v>
      </c>
    </row>
    <row r="83" spans="1:34">
      <c r="A83" s="13" t="str">
        <f t="shared" si="6"/>
        <v>ZeroZero</v>
      </c>
      <c r="B83" s="14" t="s">
        <v>475</v>
      </c>
      <c r="C83" s="15" t="s">
        <v>280</v>
      </c>
      <c r="D83" s="19" t="str">
        <f t="shared" si="7"/>
        <v>前八週無拉料</v>
      </c>
      <c r="E83" s="16" t="str">
        <f t="shared" si="8"/>
        <v>--</v>
      </c>
      <c r="F83" s="16" t="str">
        <f t="shared" si="9"/>
        <v>--</v>
      </c>
      <c r="G83" s="16" t="str">
        <f t="shared" si="10"/>
        <v>--</v>
      </c>
      <c r="H83" s="24" t="str">
        <f>IFERROR(VLOOKUP(B83,#REF!,8,FALSE),"")</f>
        <v/>
      </c>
      <c r="I83" s="17">
        <v>0</v>
      </c>
      <c r="J83" s="17">
        <v>0</v>
      </c>
      <c r="K83" s="24" t="str">
        <f>IFERROR(VLOOKUP(B83,#REF!,11,FALSE),"")</f>
        <v/>
      </c>
      <c r="L83" s="17">
        <v>105000</v>
      </c>
      <c r="M83" s="6" t="s">
        <v>748</v>
      </c>
      <c r="N83" s="18" t="str">
        <f>IFERROR(VLOOKUP(B83,#REF!,13,FALSE),"")</f>
        <v/>
      </c>
      <c r="O83" s="19" t="str">
        <f>IFERROR(VLOOKUP(B83,#REF!,14,FALSE),"")</f>
        <v/>
      </c>
      <c r="P83" s="19" t="str">
        <f>IFERROR(VLOOKUP(B83,#REF!,15,FALSE),"")</f>
        <v/>
      </c>
      <c r="Q83" s="19"/>
      <c r="R83" s="25" t="str">
        <f>IFERROR(VLOOKUP(B83,#REF!,16,FALSE),"")</f>
        <v/>
      </c>
      <c r="S83" s="17">
        <v>0</v>
      </c>
      <c r="T83" s="17">
        <v>105000</v>
      </c>
      <c r="U83" s="17">
        <v>0</v>
      </c>
      <c r="V83" s="17">
        <v>0</v>
      </c>
      <c r="W83" s="20">
        <v>105000</v>
      </c>
      <c r="X83" s="16" t="s">
        <v>40</v>
      </c>
      <c r="Y83" s="21" t="s">
        <v>40</v>
      </c>
      <c r="Z83" s="20">
        <v>0</v>
      </c>
      <c r="AA83" s="17" t="s">
        <v>40</v>
      </c>
      <c r="AB83" s="22" t="s">
        <v>41</v>
      </c>
      <c r="AC83" s="23" t="str">
        <f t="shared" si="11"/>
        <v>E</v>
      </c>
      <c r="AD83" s="17">
        <v>0</v>
      </c>
      <c r="AE83" s="17">
        <v>0</v>
      </c>
      <c r="AF83" s="17">
        <v>0</v>
      </c>
      <c r="AG83" s="17">
        <v>0</v>
      </c>
      <c r="AH83" s="15" t="s">
        <v>42</v>
      </c>
    </row>
    <row r="84" spans="1:34">
      <c r="A84" s="13" t="str">
        <f t="shared" si="6"/>
        <v>OverStock</v>
      </c>
      <c r="B84" s="14" t="s">
        <v>375</v>
      </c>
      <c r="C84" s="15" t="s">
        <v>280</v>
      </c>
      <c r="D84" s="19">
        <f t="shared" si="7"/>
        <v>16.399999999999999</v>
      </c>
      <c r="E84" s="16">
        <f t="shared" si="8"/>
        <v>27.3</v>
      </c>
      <c r="F84" s="16">
        <f t="shared" si="9"/>
        <v>15.3</v>
      </c>
      <c r="G84" s="16">
        <f t="shared" si="10"/>
        <v>25.5</v>
      </c>
      <c r="H84" s="24" t="str">
        <f>IFERROR(VLOOKUP(B84,#REF!,8,FALSE),"")</f>
        <v/>
      </c>
      <c r="I84" s="17">
        <v>105000</v>
      </c>
      <c r="J84" s="17">
        <v>32500</v>
      </c>
      <c r="K84" s="24" t="str">
        <f>IFERROR(VLOOKUP(B84,#REF!,11,FALSE),"")</f>
        <v/>
      </c>
      <c r="L84" s="17">
        <v>112500</v>
      </c>
      <c r="M84" s="6" t="s">
        <v>748</v>
      </c>
      <c r="N84" s="18" t="str">
        <f>IFERROR(VLOOKUP(B84,#REF!,13,FALSE),"")</f>
        <v/>
      </c>
      <c r="O84" s="19" t="str">
        <f>IFERROR(VLOOKUP(B84,#REF!,14,FALSE),"")</f>
        <v/>
      </c>
      <c r="P84" s="19" t="str">
        <f>IFERROR(VLOOKUP(B84,#REF!,15,FALSE),"")</f>
        <v/>
      </c>
      <c r="Q84" s="19"/>
      <c r="R84" s="25" t="str">
        <f>IFERROR(VLOOKUP(B84,#REF!,16,FALSE),"")</f>
        <v/>
      </c>
      <c r="S84" s="17">
        <v>0</v>
      </c>
      <c r="T84" s="17">
        <v>75000</v>
      </c>
      <c r="U84" s="17">
        <v>37500</v>
      </c>
      <c r="V84" s="17">
        <v>0</v>
      </c>
      <c r="W84" s="20">
        <v>217500</v>
      </c>
      <c r="X84" s="16">
        <v>31.6</v>
      </c>
      <c r="Y84" s="21">
        <v>52.8</v>
      </c>
      <c r="Z84" s="20">
        <v>6875</v>
      </c>
      <c r="AA84" s="17">
        <v>4123</v>
      </c>
      <c r="AB84" s="22">
        <v>0.6</v>
      </c>
      <c r="AC84" s="23">
        <f t="shared" si="11"/>
        <v>100</v>
      </c>
      <c r="AD84" s="17">
        <v>0</v>
      </c>
      <c r="AE84" s="17">
        <v>25144</v>
      </c>
      <c r="AF84" s="17">
        <v>11960</v>
      </c>
      <c r="AG84" s="17">
        <v>18100</v>
      </c>
      <c r="AH84" s="15" t="s">
        <v>42</v>
      </c>
    </row>
    <row r="85" spans="1:34">
      <c r="A85" s="13" t="str">
        <f t="shared" si="6"/>
        <v>ZeroZero</v>
      </c>
      <c r="B85" s="14" t="s">
        <v>704</v>
      </c>
      <c r="C85" s="15" t="s">
        <v>277</v>
      </c>
      <c r="D85" s="19" t="str">
        <f t="shared" si="7"/>
        <v>前八週無拉料</v>
      </c>
      <c r="E85" s="16" t="str">
        <f t="shared" si="8"/>
        <v>--</v>
      </c>
      <c r="F85" s="16" t="str">
        <f t="shared" si="9"/>
        <v>--</v>
      </c>
      <c r="G85" s="16" t="str">
        <f t="shared" si="10"/>
        <v>--</v>
      </c>
      <c r="H85" s="24" t="str">
        <f>IFERROR(VLOOKUP(B85,#REF!,8,FALSE),"")</f>
        <v/>
      </c>
      <c r="I85" s="17">
        <v>0</v>
      </c>
      <c r="J85" s="17">
        <v>0</v>
      </c>
      <c r="K85" s="24" t="str">
        <f>IFERROR(VLOOKUP(B85,#REF!,11,FALSE),"")</f>
        <v/>
      </c>
      <c r="L85" s="17">
        <v>255000</v>
      </c>
      <c r="M85" s="6" t="s">
        <v>760</v>
      </c>
      <c r="N85" s="18" t="str">
        <f>IFERROR(VLOOKUP(B85,#REF!,13,FALSE),"")</f>
        <v/>
      </c>
      <c r="O85" s="19" t="str">
        <f>IFERROR(VLOOKUP(B85,#REF!,14,FALSE),"")</f>
        <v/>
      </c>
      <c r="P85" s="19" t="str">
        <f>IFERROR(VLOOKUP(B85,#REF!,15,FALSE),"")</f>
        <v/>
      </c>
      <c r="Q85" s="19"/>
      <c r="R85" s="25" t="str">
        <f>IFERROR(VLOOKUP(B85,#REF!,16,FALSE),"")</f>
        <v/>
      </c>
      <c r="S85" s="17">
        <v>0</v>
      </c>
      <c r="T85" s="17">
        <v>255000</v>
      </c>
      <c r="U85" s="17">
        <v>0</v>
      </c>
      <c r="V85" s="17">
        <v>0</v>
      </c>
      <c r="W85" s="20">
        <v>255000</v>
      </c>
      <c r="X85" s="16" t="s">
        <v>40</v>
      </c>
      <c r="Y85" s="21" t="s">
        <v>40</v>
      </c>
      <c r="Z85" s="20">
        <v>0</v>
      </c>
      <c r="AA85" s="17" t="s">
        <v>40</v>
      </c>
      <c r="AB85" s="22" t="s">
        <v>41</v>
      </c>
      <c r="AC85" s="23" t="str">
        <f t="shared" si="11"/>
        <v>E</v>
      </c>
      <c r="AD85" s="17">
        <v>0</v>
      </c>
      <c r="AE85" s="17">
        <v>0</v>
      </c>
      <c r="AF85" s="17">
        <v>0</v>
      </c>
      <c r="AG85" s="17">
        <v>0</v>
      </c>
      <c r="AH85" s="15" t="s">
        <v>42</v>
      </c>
    </row>
    <row r="86" spans="1:34">
      <c r="A86" s="13" t="str">
        <f t="shared" si="6"/>
        <v>FCST</v>
      </c>
      <c r="B86" s="14" t="s">
        <v>163</v>
      </c>
      <c r="C86" s="15" t="s">
        <v>46</v>
      </c>
      <c r="D86" s="19" t="str">
        <f t="shared" si="7"/>
        <v>前八週無拉料</v>
      </c>
      <c r="E86" s="16">
        <f t="shared" si="8"/>
        <v>18</v>
      </c>
      <c r="F86" s="16" t="str">
        <f t="shared" si="9"/>
        <v>--</v>
      </c>
      <c r="G86" s="16">
        <f t="shared" si="10"/>
        <v>0</v>
      </c>
      <c r="H86" s="24" t="str">
        <f>IFERROR(VLOOKUP(B86,#REF!,8,FALSE),"")</f>
        <v/>
      </c>
      <c r="I86" s="17">
        <v>0</v>
      </c>
      <c r="J86" s="17">
        <v>0</v>
      </c>
      <c r="K86" s="24" t="str">
        <f>IFERROR(VLOOKUP(B86,#REF!,11,FALSE),"")</f>
        <v/>
      </c>
      <c r="L86" s="17">
        <v>10000</v>
      </c>
      <c r="M86" s="6" t="s">
        <v>745</v>
      </c>
      <c r="N86" s="18" t="str">
        <f>IFERROR(VLOOKUP(B86,#REF!,13,FALSE),"")</f>
        <v/>
      </c>
      <c r="O86" s="19" t="str">
        <f>IFERROR(VLOOKUP(B86,#REF!,14,FALSE),"")</f>
        <v/>
      </c>
      <c r="P86" s="19" t="str">
        <f>IFERROR(VLOOKUP(B86,#REF!,15,FALSE),"")</f>
        <v/>
      </c>
      <c r="Q86" s="19"/>
      <c r="R86" s="25" t="str">
        <f>IFERROR(VLOOKUP(B86,#REF!,16,FALSE),"")</f>
        <v/>
      </c>
      <c r="S86" s="17">
        <v>0</v>
      </c>
      <c r="T86" s="17">
        <v>10000</v>
      </c>
      <c r="U86" s="17">
        <v>0</v>
      </c>
      <c r="V86" s="17">
        <v>0</v>
      </c>
      <c r="W86" s="20">
        <v>10000</v>
      </c>
      <c r="X86" s="16" t="s">
        <v>40</v>
      </c>
      <c r="Y86" s="21">
        <v>18</v>
      </c>
      <c r="Z86" s="20">
        <v>0</v>
      </c>
      <c r="AA86" s="17">
        <v>556</v>
      </c>
      <c r="AB86" s="22" t="s">
        <v>51</v>
      </c>
      <c r="AC86" s="23" t="str">
        <f t="shared" si="11"/>
        <v>F</v>
      </c>
      <c r="AD86" s="17">
        <v>0</v>
      </c>
      <c r="AE86" s="17">
        <v>5000</v>
      </c>
      <c r="AF86" s="17">
        <v>0</v>
      </c>
      <c r="AG86" s="17">
        <v>0</v>
      </c>
      <c r="AH86" s="15" t="s">
        <v>42</v>
      </c>
    </row>
    <row r="87" spans="1:34">
      <c r="A87" s="13" t="str">
        <f t="shared" si="6"/>
        <v>ZeroZero</v>
      </c>
      <c r="B87" s="14" t="s">
        <v>481</v>
      </c>
      <c r="C87" s="15" t="s">
        <v>280</v>
      </c>
      <c r="D87" s="19" t="str">
        <f t="shared" si="7"/>
        <v>前八週無拉料</v>
      </c>
      <c r="E87" s="16" t="str">
        <f t="shared" si="8"/>
        <v>--</v>
      </c>
      <c r="F87" s="16" t="str">
        <f t="shared" si="9"/>
        <v>--</v>
      </c>
      <c r="G87" s="16" t="str">
        <f t="shared" si="10"/>
        <v>--</v>
      </c>
      <c r="H87" s="24" t="str">
        <f>IFERROR(VLOOKUP(B87,#REF!,8,FALSE),"")</f>
        <v/>
      </c>
      <c r="I87" s="17">
        <v>0</v>
      </c>
      <c r="J87" s="17">
        <v>0</v>
      </c>
      <c r="K87" s="24" t="str">
        <f>IFERROR(VLOOKUP(B87,#REF!,11,FALSE),"")</f>
        <v/>
      </c>
      <c r="L87" s="17">
        <v>39000</v>
      </c>
      <c r="M87" s="6" t="s">
        <v>748</v>
      </c>
      <c r="N87" s="18" t="str">
        <f>IFERROR(VLOOKUP(B87,#REF!,13,FALSE),"")</f>
        <v/>
      </c>
      <c r="O87" s="19" t="str">
        <f>IFERROR(VLOOKUP(B87,#REF!,14,FALSE),"")</f>
        <v/>
      </c>
      <c r="P87" s="19" t="str">
        <f>IFERROR(VLOOKUP(B87,#REF!,15,FALSE),"")</f>
        <v/>
      </c>
      <c r="Q87" s="19"/>
      <c r="R87" s="25" t="str">
        <f>IFERROR(VLOOKUP(B87,#REF!,16,FALSE),"")</f>
        <v/>
      </c>
      <c r="S87" s="17">
        <v>0</v>
      </c>
      <c r="T87" s="17">
        <v>39000</v>
      </c>
      <c r="U87" s="17">
        <v>0</v>
      </c>
      <c r="V87" s="17">
        <v>0</v>
      </c>
      <c r="W87" s="20">
        <v>39000</v>
      </c>
      <c r="X87" s="16" t="s">
        <v>40</v>
      </c>
      <c r="Y87" s="21" t="s">
        <v>40</v>
      </c>
      <c r="Z87" s="20">
        <v>0</v>
      </c>
      <c r="AA87" s="17" t="s">
        <v>40</v>
      </c>
      <c r="AB87" s="22" t="s">
        <v>41</v>
      </c>
      <c r="AC87" s="23" t="str">
        <f t="shared" si="11"/>
        <v>E</v>
      </c>
      <c r="AD87" s="17">
        <v>0</v>
      </c>
      <c r="AE87" s="17">
        <v>0</v>
      </c>
      <c r="AF87" s="17">
        <v>0</v>
      </c>
      <c r="AG87" s="17">
        <v>0</v>
      </c>
      <c r="AH87" s="15" t="s">
        <v>42</v>
      </c>
    </row>
    <row r="88" spans="1:34">
      <c r="A88" s="13" t="str">
        <f t="shared" si="6"/>
        <v>ZeroZero</v>
      </c>
      <c r="B88" s="14" t="s">
        <v>479</v>
      </c>
      <c r="C88" s="15" t="s">
        <v>280</v>
      </c>
      <c r="D88" s="19" t="str">
        <f t="shared" si="7"/>
        <v>前八週無拉料</v>
      </c>
      <c r="E88" s="16" t="str">
        <f t="shared" si="8"/>
        <v>--</v>
      </c>
      <c r="F88" s="16" t="str">
        <f t="shared" si="9"/>
        <v>--</v>
      </c>
      <c r="G88" s="16" t="str">
        <f t="shared" si="10"/>
        <v>--</v>
      </c>
      <c r="H88" s="24" t="str">
        <f>IFERROR(VLOOKUP(B88,#REF!,8,FALSE),"")</f>
        <v/>
      </c>
      <c r="I88" s="17">
        <v>0</v>
      </c>
      <c r="J88" s="17">
        <v>0</v>
      </c>
      <c r="K88" s="24" t="str">
        <f>IFERROR(VLOOKUP(B88,#REF!,11,FALSE),"")</f>
        <v/>
      </c>
      <c r="L88" s="17">
        <v>99000</v>
      </c>
      <c r="M88" s="6" t="s">
        <v>748</v>
      </c>
      <c r="N88" s="18" t="str">
        <f>IFERROR(VLOOKUP(B88,#REF!,13,FALSE),"")</f>
        <v/>
      </c>
      <c r="O88" s="19" t="str">
        <f>IFERROR(VLOOKUP(B88,#REF!,14,FALSE),"")</f>
        <v/>
      </c>
      <c r="P88" s="19" t="str">
        <f>IFERROR(VLOOKUP(B88,#REF!,15,FALSE),"")</f>
        <v/>
      </c>
      <c r="Q88" s="19"/>
      <c r="R88" s="25" t="str">
        <f>IFERROR(VLOOKUP(B88,#REF!,16,FALSE),"")</f>
        <v/>
      </c>
      <c r="S88" s="17">
        <v>0</v>
      </c>
      <c r="T88" s="17">
        <v>99000</v>
      </c>
      <c r="U88" s="17">
        <v>0</v>
      </c>
      <c r="V88" s="17">
        <v>0</v>
      </c>
      <c r="W88" s="20">
        <v>99000</v>
      </c>
      <c r="X88" s="16" t="s">
        <v>40</v>
      </c>
      <c r="Y88" s="21" t="s">
        <v>40</v>
      </c>
      <c r="Z88" s="20">
        <v>0</v>
      </c>
      <c r="AA88" s="17" t="s">
        <v>40</v>
      </c>
      <c r="AB88" s="22" t="s">
        <v>41</v>
      </c>
      <c r="AC88" s="23" t="str">
        <f t="shared" si="11"/>
        <v>E</v>
      </c>
      <c r="AD88" s="17">
        <v>0</v>
      </c>
      <c r="AE88" s="17">
        <v>0</v>
      </c>
      <c r="AF88" s="17">
        <v>0</v>
      </c>
      <c r="AG88" s="17">
        <v>0</v>
      </c>
      <c r="AH88" s="15" t="s">
        <v>42</v>
      </c>
    </row>
    <row r="89" spans="1:34">
      <c r="A89" s="13" t="str">
        <f t="shared" si="6"/>
        <v>OverStock</v>
      </c>
      <c r="B89" s="14" t="s">
        <v>429</v>
      </c>
      <c r="C89" s="15" t="s">
        <v>280</v>
      </c>
      <c r="D89" s="19">
        <f t="shared" si="7"/>
        <v>44</v>
      </c>
      <c r="E89" s="16" t="str">
        <f t="shared" si="8"/>
        <v>--</v>
      </c>
      <c r="F89" s="16">
        <f t="shared" si="9"/>
        <v>225.3</v>
      </c>
      <c r="G89" s="16" t="str">
        <f t="shared" si="10"/>
        <v>--</v>
      </c>
      <c r="H89" s="24" t="str">
        <f>IFERROR(VLOOKUP(B89,#REF!,8,FALSE),"")</f>
        <v/>
      </c>
      <c r="I89" s="17">
        <v>507000</v>
      </c>
      <c r="J89" s="17">
        <v>84000</v>
      </c>
      <c r="K89" s="24" t="str">
        <f>IFERROR(VLOOKUP(B89,#REF!,11,FALSE),"")</f>
        <v/>
      </c>
      <c r="L89" s="17">
        <v>99000</v>
      </c>
      <c r="M89" s="6" t="s">
        <v>763</v>
      </c>
      <c r="N89" s="18" t="str">
        <f>IFERROR(VLOOKUP(B89,#REF!,13,FALSE),"")</f>
        <v/>
      </c>
      <c r="O89" s="19" t="str">
        <f>IFERROR(VLOOKUP(B89,#REF!,14,FALSE),"")</f>
        <v/>
      </c>
      <c r="P89" s="19" t="str">
        <f>IFERROR(VLOOKUP(B89,#REF!,15,FALSE),"")</f>
        <v/>
      </c>
      <c r="Q89" s="19"/>
      <c r="R89" s="25" t="str">
        <f>IFERROR(VLOOKUP(B89,#REF!,16,FALSE),"")</f>
        <v/>
      </c>
      <c r="S89" s="17">
        <v>0</v>
      </c>
      <c r="T89" s="17">
        <v>99000</v>
      </c>
      <c r="U89" s="17">
        <v>0</v>
      </c>
      <c r="V89" s="17">
        <v>0</v>
      </c>
      <c r="W89" s="20">
        <v>606000</v>
      </c>
      <c r="X89" s="16">
        <v>269.3</v>
      </c>
      <c r="Y89" s="21" t="s">
        <v>40</v>
      </c>
      <c r="Z89" s="20">
        <v>2250</v>
      </c>
      <c r="AA89" s="17" t="s">
        <v>40</v>
      </c>
      <c r="AB89" s="22" t="s">
        <v>41</v>
      </c>
      <c r="AC89" s="23" t="str">
        <f t="shared" si="11"/>
        <v>E</v>
      </c>
      <c r="AD89" s="17">
        <v>0</v>
      </c>
      <c r="AE89" s="17">
        <v>0</v>
      </c>
      <c r="AF89" s="17">
        <v>0</v>
      </c>
      <c r="AG89" s="17">
        <v>0</v>
      </c>
      <c r="AH89" s="15" t="s">
        <v>42</v>
      </c>
    </row>
    <row r="90" spans="1:34">
      <c r="A90" s="13" t="str">
        <f t="shared" si="6"/>
        <v>ZeroZero</v>
      </c>
      <c r="B90" s="14" t="s">
        <v>442</v>
      </c>
      <c r="C90" s="15" t="s">
        <v>280</v>
      </c>
      <c r="D90" s="19" t="str">
        <f t="shared" si="7"/>
        <v>前八週無拉料</v>
      </c>
      <c r="E90" s="16" t="str">
        <f t="shared" si="8"/>
        <v>--</v>
      </c>
      <c r="F90" s="16" t="str">
        <f t="shared" si="9"/>
        <v>--</v>
      </c>
      <c r="G90" s="16" t="str">
        <f t="shared" si="10"/>
        <v>--</v>
      </c>
      <c r="H90" s="24" t="str">
        <f>IFERROR(VLOOKUP(B90,#REF!,8,FALSE),"")</f>
        <v/>
      </c>
      <c r="I90" s="17">
        <v>0</v>
      </c>
      <c r="J90" s="17">
        <v>0</v>
      </c>
      <c r="K90" s="24" t="str">
        <f>IFERROR(VLOOKUP(B90,#REF!,11,FALSE),"")</f>
        <v/>
      </c>
      <c r="L90" s="17">
        <v>30000</v>
      </c>
      <c r="M90" s="6" t="s">
        <v>748</v>
      </c>
      <c r="N90" s="18" t="str">
        <f>IFERROR(VLOOKUP(B90,#REF!,13,FALSE),"")</f>
        <v/>
      </c>
      <c r="O90" s="19" t="str">
        <f>IFERROR(VLOOKUP(B90,#REF!,14,FALSE),"")</f>
        <v/>
      </c>
      <c r="P90" s="19" t="str">
        <f>IFERROR(VLOOKUP(B90,#REF!,15,FALSE),"")</f>
        <v/>
      </c>
      <c r="Q90" s="19"/>
      <c r="R90" s="25" t="str">
        <f>IFERROR(VLOOKUP(B90,#REF!,16,FALSE),"")</f>
        <v/>
      </c>
      <c r="S90" s="17">
        <v>9000</v>
      </c>
      <c r="T90" s="17">
        <v>21000</v>
      </c>
      <c r="U90" s="17">
        <v>0</v>
      </c>
      <c r="V90" s="17">
        <v>0</v>
      </c>
      <c r="W90" s="20">
        <v>30000</v>
      </c>
      <c r="X90" s="16" t="s">
        <v>40</v>
      </c>
      <c r="Y90" s="21" t="s">
        <v>40</v>
      </c>
      <c r="Z90" s="20">
        <v>0</v>
      </c>
      <c r="AA90" s="17" t="s">
        <v>40</v>
      </c>
      <c r="AB90" s="22" t="s">
        <v>41</v>
      </c>
      <c r="AC90" s="23" t="str">
        <f t="shared" si="11"/>
        <v>E</v>
      </c>
      <c r="AD90" s="17">
        <v>0</v>
      </c>
      <c r="AE90" s="17">
        <v>0</v>
      </c>
      <c r="AF90" s="17">
        <v>0</v>
      </c>
      <c r="AG90" s="17">
        <v>0</v>
      </c>
      <c r="AH90" s="15" t="s">
        <v>42</v>
      </c>
    </row>
    <row r="91" spans="1:34">
      <c r="A91" s="13" t="str">
        <f t="shared" si="6"/>
        <v>FCST</v>
      </c>
      <c r="B91" s="14" t="s">
        <v>219</v>
      </c>
      <c r="C91" s="15" t="s">
        <v>46</v>
      </c>
      <c r="D91" s="19" t="str">
        <f t="shared" si="7"/>
        <v>前八週無拉料</v>
      </c>
      <c r="E91" s="16">
        <f t="shared" si="8"/>
        <v>41.3</v>
      </c>
      <c r="F91" s="16" t="str">
        <f t="shared" si="9"/>
        <v>--</v>
      </c>
      <c r="G91" s="16">
        <f t="shared" si="10"/>
        <v>20.7</v>
      </c>
      <c r="H91" s="24" t="str">
        <f>IFERROR(VLOOKUP(B91,#REF!,8,FALSE),"")</f>
        <v/>
      </c>
      <c r="I91" s="17">
        <v>5000</v>
      </c>
      <c r="J91" s="17">
        <v>5000</v>
      </c>
      <c r="K91" s="24" t="str">
        <f>IFERROR(VLOOKUP(B91,#REF!,11,FALSE),"")</f>
        <v/>
      </c>
      <c r="L91" s="17">
        <v>10000</v>
      </c>
      <c r="M91" s="6" t="s">
        <v>745</v>
      </c>
      <c r="N91" s="18" t="str">
        <f>IFERROR(VLOOKUP(B91,#REF!,13,FALSE),"")</f>
        <v/>
      </c>
      <c r="O91" s="19" t="str">
        <f>IFERROR(VLOOKUP(B91,#REF!,14,FALSE),"")</f>
        <v/>
      </c>
      <c r="P91" s="19" t="str">
        <f>IFERROR(VLOOKUP(B91,#REF!,15,FALSE),"")</f>
        <v/>
      </c>
      <c r="Q91" s="19"/>
      <c r="R91" s="25" t="str">
        <f>IFERROR(VLOOKUP(B91,#REF!,16,FALSE),"")</f>
        <v/>
      </c>
      <c r="S91" s="17">
        <v>0</v>
      </c>
      <c r="T91" s="17">
        <v>10000</v>
      </c>
      <c r="U91" s="17">
        <v>0</v>
      </c>
      <c r="V91" s="17">
        <v>0</v>
      </c>
      <c r="W91" s="20">
        <v>15000</v>
      </c>
      <c r="X91" s="16" t="s">
        <v>40</v>
      </c>
      <c r="Y91" s="21">
        <v>62</v>
      </c>
      <c r="Z91" s="20">
        <v>0</v>
      </c>
      <c r="AA91" s="17">
        <v>242</v>
      </c>
      <c r="AB91" s="22" t="s">
        <v>51</v>
      </c>
      <c r="AC91" s="23" t="str">
        <f t="shared" si="11"/>
        <v>F</v>
      </c>
      <c r="AD91" s="17">
        <v>0</v>
      </c>
      <c r="AE91" s="17">
        <v>0</v>
      </c>
      <c r="AF91" s="17">
        <v>2180</v>
      </c>
      <c r="AG91" s="17">
        <v>0</v>
      </c>
      <c r="AH91" s="15" t="s">
        <v>42</v>
      </c>
    </row>
    <row r="92" spans="1:34">
      <c r="A92" s="13" t="str">
        <f t="shared" si="6"/>
        <v>OverStock</v>
      </c>
      <c r="B92" s="14" t="s">
        <v>681</v>
      </c>
      <c r="C92" s="15" t="s">
        <v>277</v>
      </c>
      <c r="D92" s="19">
        <f t="shared" si="7"/>
        <v>40</v>
      </c>
      <c r="E92" s="16">
        <f t="shared" si="8"/>
        <v>11.2</v>
      </c>
      <c r="F92" s="16">
        <f t="shared" si="9"/>
        <v>32</v>
      </c>
      <c r="G92" s="16">
        <f t="shared" si="10"/>
        <v>8.9</v>
      </c>
      <c r="H92" s="24" t="str">
        <f>IFERROR(VLOOKUP(B92,#REF!,8,FALSE),"")</f>
        <v/>
      </c>
      <c r="I92" s="17">
        <v>12000</v>
      </c>
      <c r="J92" s="17">
        <v>12000</v>
      </c>
      <c r="K92" s="24" t="str">
        <f>IFERROR(VLOOKUP(B92,#REF!,11,FALSE),"")</f>
        <v/>
      </c>
      <c r="L92" s="17">
        <v>15000</v>
      </c>
      <c r="M92" s="6" t="s">
        <v>752</v>
      </c>
      <c r="N92" s="18" t="str">
        <f>IFERROR(VLOOKUP(B92,#REF!,13,FALSE),"")</f>
        <v/>
      </c>
      <c r="O92" s="19" t="str">
        <f>IFERROR(VLOOKUP(B92,#REF!,14,FALSE),"")</f>
        <v/>
      </c>
      <c r="P92" s="19" t="str">
        <f>IFERROR(VLOOKUP(B92,#REF!,15,FALSE),"")</f>
        <v/>
      </c>
      <c r="Q92" s="19"/>
      <c r="R92" s="25" t="str">
        <f>IFERROR(VLOOKUP(B92,#REF!,16,FALSE),"")</f>
        <v/>
      </c>
      <c r="S92" s="17">
        <v>0</v>
      </c>
      <c r="T92" s="17">
        <v>15000</v>
      </c>
      <c r="U92" s="17">
        <v>0</v>
      </c>
      <c r="V92" s="17">
        <v>0</v>
      </c>
      <c r="W92" s="20">
        <v>27000</v>
      </c>
      <c r="X92" s="16">
        <v>72</v>
      </c>
      <c r="Y92" s="21">
        <v>20.100000000000001</v>
      </c>
      <c r="Z92" s="20">
        <v>375</v>
      </c>
      <c r="AA92" s="17">
        <v>1343</v>
      </c>
      <c r="AB92" s="22">
        <v>3.6</v>
      </c>
      <c r="AC92" s="23">
        <f t="shared" si="11"/>
        <v>150</v>
      </c>
      <c r="AD92" s="17">
        <v>2386</v>
      </c>
      <c r="AE92" s="17">
        <v>7615</v>
      </c>
      <c r="AF92" s="17">
        <v>4900</v>
      </c>
      <c r="AG92" s="17">
        <v>3004</v>
      </c>
      <c r="AH92" s="15" t="s">
        <v>42</v>
      </c>
    </row>
    <row r="93" spans="1:34">
      <c r="A93" s="13" t="str">
        <f t="shared" si="6"/>
        <v>ZeroZero</v>
      </c>
      <c r="B93" s="14" t="s">
        <v>530</v>
      </c>
      <c r="C93" s="15" t="s">
        <v>277</v>
      </c>
      <c r="D93" s="19" t="str">
        <f t="shared" si="7"/>
        <v>前八週無拉料</v>
      </c>
      <c r="E93" s="16" t="str">
        <f t="shared" si="8"/>
        <v>--</v>
      </c>
      <c r="F93" s="16" t="str">
        <f t="shared" si="9"/>
        <v>--</v>
      </c>
      <c r="G93" s="16" t="str">
        <f t="shared" si="10"/>
        <v>--</v>
      </c>
      <c r="H93" s="24" t="str">
        <f>IFERROR(VLOOKUP(B93,#REF!,8,FALSE),"")</f>
        <v/>
      </c>
      <c r="I93" s="17">
        <v>0</v>
      </c>
      <c r="J93" s="17">
        <v>0</v>
      </c>
      <c r="K93" s="24" t="str">
        <f>IFERROR(VLOOKUP(B93,#REF!,11,FALSE),"")</f>
        <v/>
      </c>
      <c r="L93" s="17">
        <v>57000</v>
      </c>
      <c r="M93" s="6" t="s">
        <v>755</v>
      </c>
      <c r="N93" s="18" t="str">
        <f>IFERROR(VLOOKUP(B93,#REF!,13,FALSE),"")</f>
        <v/>
      </c>
      <c r="O93" s="19" t="str">
        <f>IFERROR(VLOOKUP(B93,#REF!,14,FALSE),"")</f>
        <v/>
      </c>
      <c r="P93" s="19" t="str">
        <f>IFERROR(VLOOKUP(B93,#REF!,15,FALSE),"")</f>
        <v/>
      </c>
      <c r="Q93" s="19"/>
      <c r="R93" s="25" t="str">
        <f>IFERROR(VLOOKUP(B93,#REF!,16,FALSE),"")</f>
        <v/>
      </c>
      <c r="S93" s="17">
        <v>0</v>
      </c>
      <c r="T93" s="17">
        <v>57000</v>
      </c>
      <c r="U93" s="17">
        <v>0</v>
      </c>
      <c r="V93" s="17">
        <v>0</v>
      </c>
      <c r="W93" s="20">
        <v>57000</v>
      </c>
      <c r="X93" s="16" t="s">
        <v>40</v>
      </c>
      <c r="Y93" s="21" t="s">
        <v>40</v>
      </c>
      <c r="Z93" s="20">
        <v>0</v>
      </c>
      <c r="AA93" s="17" t="s">
        <v>40</v>
      </c>
      <c r="AB93" s="22" t="s">
        <v>41</v>
      </c>
      <c r="AC93" s="23" t="str">
        <f t="shared" si="11"/>
        <v>E</v>
      </c>
      <c r="AD93" s="17">
        <v>0</v>
      </c>
      <c r="AE93" s="17">
        <v>0</v>
      </c>
      <c r="AF93" s="17">
        <v>0</v>
      </c>
      <c r="AG93" s="17">
        <v>0</v>
      </c>
      <c r="AH93" s="15" t="s">
        <v>42</v>
      </c>
    </row>
    <row r="94" spans="1:34">
      <c r="A94" s="13" t="str">
        <f t="shared" si="6"/>
        <v>OverStock</v>
      </c>
      <c r="B94" s="14" t="s">
        <v>81</v>
      </c>
      <c r="C94" s="15" t="s">
        <v>46</v>
      </c>
      <c r="D94" s="19">
        <f t="shared" si="7"/>
        <v>13.9</v>
      </c>
      <c r="E94" s="16">
        <f t="shared" si="8"/>
        <v>14.1</v>
      </c>
      <c r="F94" s="16">
        <f t="shared" si="9"/>
        <v>8.4</v>
      </c>
      <c r="G94" s="16">
        <f t="shared" si="10"/>
        <v>8.6</v>
      </c>
      <c r="H94" s="24" t="str">
        <f>IFERROR(VLOOKUP(B94,#REF!,8,FALSE),"")</f>
        <v/>
      </c>
      <c r="I94" s="17">
        <v>60000</v>
      </c>
      <c r="J94" s="17">
        <v>0</v>
      </c>
      <c r="K94" s="24" t="str">
        <f>IFERROR(VLOOKUP(B94,#REF!,11,FALSE),"")</f>
        <v/>
      </c>
      <c r="L94" s="17">
        <v>99000</v>
      </c>
      <c r="M94" s="6" t="s">
        <v>745</v>
      </c>
      <c r="N94" s="18" t="str">
        <f>IFERROR(VLOOKUP(B94,#REF!,13,FALSE),"")</f>
        <v/>
      </c>
      <c r="O94" s="19" t="str">
        <f>IFERROR(VLOOKUP(B94,#REF!,14,FALSE),"")</f>
        <v/>
      </c>
      <c r="P94" s="19" t="str">
        <f>IFERROR(VLOOKUP(B94,#REF!,15,FALSE),"")</f>
        <v/>
      </c>
      <c r="Q94" s="19"/>
      <c r="R94" s="25" t="str">
        <f>IFERROR(VLOOKUP(B94,#REF!,16,FALSE),"")</f>
        <v/>
      </c>
      <c r="S94" s="17">
        <v>0</v>
      </c>
      <c r="T94" s="17">
        <v>99000</v>
      </c>
      <c r="U94" s="17">
        <v>0</v>
      </c>
      <c r="V94" s="17">
        <v>0</v>
      </c>
      <c r="W94" s="20">
        <v>159000</v>
      </c>
      <c r="X94" s="16">
        <v>22.3</v>
      </c>
      <c r="Y94" s="21">
        <v>22.7</v>
      </c>
      <c r="Z94" s="20">
        <v>7125</v>
      </c>
      <c r="AA94" s="17">
        <v>7000</v>
      </c>
      <c r="AB94" s="22">
        <v>1</v>
      </c>
      <c r="AC94" s="23">
        <f t="shared" si="11"/>
        <v>100</v>
      </c>
      <c r="AD94" s="17">
        <v>0</v>
      </c>
      <c r="AE94" s="17">
        <v>39000</v>
      </c>
      <c r="AF94" s="17">
        <v>27000</v>
      </c>
      <c r="AG94" s="17">
        <v>15000</v>
      </c>
      <c r="AH94" s="15" t="s">
        <v>42</v>
      </c>
    </row>
    <row r="95" spans="1:34">
      <c r="A95" s="13" t="str">
        <f t="shared" si="6"/>
        <v>OverStock</v>
      </c>
      <c r="B95" s="14" t="s">
        <v>290</v>
      </c>
      <c r="C95" s="15" t="s">
        <v>280</v>
      </c>
      <c r="D95" s="19">
        <f t="shared" si="7"/>
        <v>9.6999999999999993</v>
      </c>
      <c r="E95" s="16">
        <f t="shared" si="8"/>
        <v>219</v>
      </c>
      <c r="F95" s="16">
        <f t="shared" si="9"/>
        <v>27.6</v>
      </c>
      <c r="G95" s="16">
        <f t="shared" si="10"/>
        <v>621</v>
      </c>
      <c r="H95" s="24" t="str">
        <f>IFERROR(VLOOKUP(B95,#REF!,8,FALSE),"")</f>
        <v/>
      </c>
      <c r="I95" s="17">
        <v>621000</v>
      </c>
      <c r="J95" s="17">
        <v>231000</v>
      </c>
      <c r="K95" s="24" t="str">
        <f>IFERROR(VLOOKUP(B95,#REF!,11,FALSE),"")</f>
        <v/>
      </c>
      <c r="L95" s="17">
        <v>219000</v>
      </c>
      <c r="M95" s="6" t="s">
        <v>753</v>
      </c>
      <c r="N95" s="18" t="str">
        <f>IFERROR(VLOOKUP(B95,#REF!,13,FALSE),"")</f>
        <v/>
      </c>
      <c r="O95" s="19" t="str">
        <f>IFERROR(VLOOKUP(B95,#REF!,14,FALSE),"")</f>
        <v/>
      </c>
      <c r="P95" s="19" t="str">
        <f>IFERROR(VLOOKUP(B95,#REF!,15,FALSE),"")</f>
        <v/>
      </c>
      <c r="Q95" s="19"/>
      <c r="R95" s="25" t="str">
        <f>IFERROR(VLOOKUP(B95,#REF!,16,FALSE),"")</f>
        <v/>
      </c>
      <c r="S95" s="17">
        <v>0</v>
      </c>
      <c r="T95" s="17">
        <v>219000</v>
      </c>
      <c r="U95" s="17">
        <v>0</v>
      </c>
      <c r="V95" s="17">
        <v>0</v>
      </c>
      <c r="W95" s="20">
        <v>840000</v>
      </c>
      <c r="X95" s="16">
        <v>37.299999999999997</v>
      </c>
      <c r="Y95" s="21">
        <v>840</v>
      </c>
      <c r="Z95" s="20">
        <v>22500</v>
      </c>
      <c r="AA95" s="17">
        <v>1000</v>
      </c>
      <c r="AB95" s="22">
        <v>0</v>
      </c>
      <c r="AC95" s="23">
        <f t="shared" si="11"/>
        <v>50</v>
      </c>
      <c r="AD95" s="17">
        <v>6000</v>
      </c>
      <c r="AE95" s="17">
        <v>3000</v>
      </c>
      <c r="AF95" s="17">
        <v>21000</v>
      </c>
      <c r="AG95" s="17">
        <v>54000</v>
      </c>
      <c r="AH95" s="15" t="s">
        <v>42</v>
      </c>
    </row>
    <row r="96" spans="1:34">
      <c r="A96" s="13" t="str">
        <f t="shared" si="6"/>
        <v>OverStock</v>
      </c>
      <c r="B96" s="14" t="s">
        <v>236</v>
      </c>
      <c r="C96" s="15" t="s">
        <v>46</v>
      </c>
      <c r="D96" s="19">
        <f t="shared" si="7"/>
        <v>72</v>
      </c>
      <c r="E96" s="16" t="str">
        <f t="shared" si="8"/>
        <v>--</v>
      </c>
      <c r="F96" s="16">
        <f t="shared" si="9"/>
        <v>112.8</v>
      </c>
      <c r="G96" s="16" t="str">
        <f t="shared" si="10"/>
        <v>--</v>
      </c>
      <c r="H96" s="24" t="str">
        <f>IFERROR(VLOOKUP(B96,#REF!,8,FALSE),"")</f>
        <v/>
      </c>
      <c r="I96" s="17">
        <v>14100</v>
      </c>
      <c r="J96" s="17">
        <v>14100</v>
      </c>
      <c r="K96" s="24" t="str">
        <f>IFERROR(VLOOKUP(B96,#REF!,11,FALSE),"")</f>
        <v/>
      </c>
      <c r="L96" s="17">
        <v>9000</v>
      </c>
      <c r="M96" s="6" t="s">
        <v>745</v>
      </c>
      <c r="N96" s="18" t="str">
        <f>IFERROR(VLOOKUP(B96,#REF!,13,FALSE),"")</f>
        <v/>
      </c>
      <c r="O96" s="19" t="str">
        <f>IFERROR(VLOOKUP(B96,#REF!,14,FALSE),"")</f>
        <v/>
      </c>
      <c r="P96" s="19" t="str">
        <f>IFERROR(VLOOKUP(B96,#REF!,15,FALSE),"")</f>
        <v/>
      </c>
      <c r="Q96" s="19"/>
      <c r="R96" s="25" t="str">
        <f>IFERROR(VLOOKUP(B96,#REF!,16,FALSE),"")</f>
        <v/>
      </c>
      <c r="S96" s="17">
        <v>0</v>
      </c>
      <c r="T96" s="17">
        <v>9000</v>
      </c>
      <c r="U96" s="17">
        <v>0</v>
      </c>
      <c r="V96" s="17">
        <v>0</v>
      </c>
      <c r="W96" s="20">
        <v>23100</v>
      </c>
      <c r="X96" s="16">
        <v>184.8</v>
      </c>
      <c r="Y96" s="21" t="s">
        <v>40</v>
      </c>
      <c r="Z96" s="20">
        <v>125</v>
      </c>
      <c r="AA96" s="17" t="s">
        <v>40</v>
      </c>
      <c r="AB96" s="22" t="s">
        <v>41</v>
      </c>
      <c r="AC96" s="23" t="str">
        <f t="shared" si="11"/>
        <v>E</v>
      </c>
      <c r="AD96" s="17">
        <v>0</v>
      </c>
      <c r="AE96" s="17">
        <v>0</v>
      </c>
      <c r="AF96" s="17">
        <v>0</v>
      </c>
      <c r="AG96" s="17">
        <v>0</v>
      </c>
      <c r="AH96" s="15" t="s">
        <v>42</v>
      </c>
    </row>
    <row r="97" spans="1:34">
      <c r="A97" s="13" t="str">
        <f t="shared" si="6"/>
        <v>OverStock</v>
      </c>
      <c r="B97" s="14" t="s">
        <v>331</v>
      </c>
      <c r="C97" s="15" t="s">
        <v>280</v>
      </c>
      <c r="D97" s="19">
        <f t="shared" si="7"/>
        <v>19.7</v>
      </c>
      <c r="E97" s="16">
        <f t="shared" si="8"/>
        <v>15.2</v>
      </c>
      <c r="F97" s="16">
        <f t="shared" si="9"/>
        <v>21.3</v>
      </c>
      <c r="G97" s="16">
        <f t="shared" si="10"/>
        <v>16.399999999999999</v>
      </c>
      <c r="H97" s="24" t="str">
        <f>IFERROR(VLOOKUP(B97,#REF!,8,FALSE),"")</f>
        <v/>
      </c>
      <c r="I97" s="17">
        <v>120000</v>
      </c>
      <c r="J97" s="17">
        <v>30000</v>
      </c>
      <c r="K97" s="24" t="str">
        <f>IFERROR(VLOOKUP(B97,#REF!,11,FALSE),"")</f>
        <v/>
      </c>
      <c r="L97" s="17">
        <v>111000</v>
      </c>
      <c r="M97" s="6" t="s">
        <v>748</v>
      </c>
      <c r="N97" s="18" t="str">
        <f>IFERROR(VLOOKUP(B97,#REF!,13,FALSE),"")</f>
        <v/>
      </c>
      <c r="O97" s="19" t="str">
        <f>IFERROR(VLOOKUP(B97,#REF!,14,FALSE),"")</f>
        <v/>
      </c>
      <c r="P97" s="19" t="str">
        <f>IFERROR(VLOOKUP(B97,#REF!,15,FALSE),"")</f>
        <v/>
      </c>
      <c r="Q97" s="19"/>
      <c r="R97" s="25" t="str">
        <f>IFERROR(VLOOKUP(B97,#REF!,16,FALSE),"")</f>
        <v/>
      </c>
      <c r="S97" s="17">
        <v>0</v>
      </c>
      <c r="T97" s="17">
        <v>78000</v>
      </c>
      <c r="U97" s="17">
        <v>33000</v>
      </c>
      <c r="V97" s="17">
        <v>0</v>
      </c>
      <c r="W97" s="20">
        <v>231000</v>
      </c>
      <c r="X97" s="16">
        <v>41.1</v>
      </c>
      <c r="Y97" s="21">
        <v>31.5</v>
      </c>
      <c r="Z97" s="20">
        <v>5625</v>
      </c>
      <c r="AA97" s="17">
        <v>7322</v>
      </c>
      <c r="AB97" s="22">
        <v>1.3</v>
      </c>
      <c r="AC97" s="23">
        <f t="shared" si="11"/>
        <v>100</v>
      </c>
      <c r="AD97" s="17">
        <v>11200</v>
      </c>
      <c r="AE97" s="17">
        <v>28600</v>
      </c>
      <c r="AF97" s="17">
        <v>27800</v>
      </c>
      <c r="AG97" s="17">
        <v>25900</v>
      </c>
      <c r="AH97" s="15" t="s">
        <v>42</v>
      </c>
    </row>
    <row r="98" spans="1:34">
      <c r="A98" s="13" t="str">
        <f t="shared" si="6"/>
        <v>ZeroZero</v>
      </c>
      <c r="B98" s="14" t="s">
        <v>258</v>
      </c>
      <c r="C98" s="15" t="s">
        <v>255</v>
      </c>
      <c r="D98" s="19" t="str">
        <f t="shared" si="7"/>
        <v>前八週無拉料</v>
      </c>
      <c r="E98" s="16" t="str">
        <f t="shared" si="8"/>
        <v>--</v>
      </c>
      <c r="F98" s="16" t="str">
        <f t="shared" si="9"/>
        <v>--</v>
      </c>
      <c r="G98" s="16" t="str">
        <f t="shared" si="10"/>
        <v>--</v>
      </c>
      <c r="H98" s="24" t="str">
        <f>IFERROR(VLOOKUP(B98,#REF!,8,FALSE),"")</f>
        <v/>
      </c>
      <c r="I98" s="17">
        <v>0</v>
      </c>
      <c r="J98" s="17">
        <v>0</v>
      </c>
      <c r="K98" s="24" t="str">
        <f>IFERROR(VLOOKUP(B98,#REF!,11,FALSE),"")</f>
        <v/>
      </c>
      <c r="L98" s="17">
        <v>9000</v>
      </c>
      <c r="M98" s="6" t="s">
        <v>743</v>
      </c>
      <c r="N98" s="18" t="str">
        <f>IFERROR(VLOOKUP(B98,#REF!,13,FALSE),"")</f>
        <v/>
      </c>
      <c r="O98" s="19" t="str">
        <f>IFERROR(VLOOKUP(B98,#REF!,14,FALSE),"")</f>
        <v/>
      </c>
      <c r="P98" s="19" t="str">
        <f>IFERROR(VLOOKUP(B98,#REF!,15,FALSE),"")</f>
        <v/>
      </c>
      <c r="Q98" s="19"/>
      <c r="R98" s="25" t="str">
        <f>IFERROR(VLOOKUP(B98,#REF!,16,FALSE),"")</f>
        <v/>
      </c>
      <c r="S98" s="17">
        <v>0</v>
      </c>
      <c r="T98" s="17">
        <v>9000</v>
      </c>
      <c r="U98" s="17">
        <v>0</v>
      </c>
      <c r="V98" s="17">
        <v>0</v>
      </c>
      <c r="W98" s="20">
        <v>9000</v>
      </c>
      <c r="X98" s="16" t="s">
        <v>40</v>
      </c>
      <c r="Y98" s="21" t="s">
        <v>40</v>
      </c>
      <c r="Z98" s="20">
        <v>0</v>
      </c>
      <c r="AA98" s="17" t="s">
        <v>40</v>
      </c>
      <c r="AB98" s="22" t="s">
        <v>41</v>
      </c>
      <c r="AC98" s="23" t="str">
        <f t="shared" si="11"/>
        <v>E</v>
      </c>
      <c r="AD98" s="17">
        <v>0</v>
      </c>
      <c r="AE98" s="17">
        <v>0</v>
      </c>
      <c r="AF98" s="17">
        <v>0</v>
      </c>
      <c r="AG98" s="17">
        <v>0</v>
      </c>
      <c r="AH98" s="15" t="s">
        <v>42</v>
      </c>
    </row>
    <row r="99" spans="1:34">
      <c r="A99" s="13" t="str">
        <f t="shared" si="6"/>
        <v>OverStock</v>
      </c>
      <c r="B99" s="14" t="s">
        <v>293</v>
      </c>
      <c r="C99" s="15" t="s">
        <v>280</v>
      </c>
      <c r="D99" s="19">
        <f t="shared" si="7"/>
        <v>18.600000000000001</v>
      </c>
      <c r="E99" s="16">
        <f t="shared" si="8"/>
        <v>21.4</v>
      </c>
      <c r="F99" s="16">
        <f t="shared" si="9"/>
        <v>30.6</v>
      </c>
      <c r="G99" s="16">
        <f t="shared" si="10"/>
        <v>35.200000000000003</v>
      </c>
      <c r="H99" s="24" t="str">
        <f>IFERROR(VLOOKUP(B99,#REF!,8,FALSE),"")</f>
        <v/>
      </c>
      <c r="I99" s="17">
        <v>528000</v>
      </c>
      <c r="J99" s="17">
        <v>18000</v>
      </c>
      <c r="K99" s="24" t="str">
        <f>IFERROR(VLOOKUP(B99,#REF!,11,FALSE),"")</f>
        <v/>
      </c>
      <c r="L99" s="17">
        <v>321000</v>
      </c>
      <c r="M99" s="6" t="s">
        <v>754</v>
      </c>
      <c r="N99" s="18" t="str">
        <f>IFERROR(VLOOKUP(B99,#REF!,13,FALSE),"")</f>
        <v/>
      </c>
      <c r="O99" s="19" t="str">
        <f>IFERROR(VLOOKUP(B99,#REF!,14,FALSE),"")</f>
        <v/>
      </c>
      <c r="P99" s="19" t="str">
        <f>IFERROR(VLOOKUP(B99,#REF!,15,FALSE),"")</f>
        <v/>
      </c>
      <c r="Q99" s="19"/>
      <c r="R99" s="25" t="str">
        <f>IFERROR(VLOOKUP(B99,#REF!,16,FALSE),"")</f>
        <v/>
      </c>
      <c r="S99" s="17">
        <v>0</v>
      </c>
      <c r="T99" s="17">
        <v>321000</v>
      </c>
      <c r="U99" s="17">
        <v>0</v>
      </c>
      <c r="V99" s="17">
        <v>0</v>
      </c>
      <c r="W99" s="20">
        <v>849000</v>
      </c>
      <c r="X99" s="16">
        <v>49.2</v>
      </c>
      <c r="Y99" s="21">
        <v>56.6</v>
      </c>
      <c r="Z99" s="20">
        <v>17250</v>
      </c>
      <c r="AA99" s="17">
        <v>14999</v>
      </c>
      <c r="AB99" s="22">
        <v>0.9</v>
      </c>
      <c r="AC99" s="23">
        <f t="shared" si="11"/>
        <v>100</v>
      </c>
      <c r="AD99" s="17">
        <v>63000</v>
      </c>
      <c r="AE99" s="17">
        <v>48000</v>
      </c>
      <c r="AF99" s="17">
        <v>24000</v>
      </c>
      <c r="AG99" s="17">
        <v>63000</v>
      </c>
      <c r="AH99" s="15" t="s">
        <v>42</v>
      </c>
    </row>
    <row r="100" spans="1:34">
      <c r="A100" s="13" t="str">
        <f t="shared" si="6"/>
        <v>ZeroZero</v>
      </c>
      <c r="B100" s="14" t="s">
        <v>181</v>
      </c>
      <c r="C100" s="15" t="s">
        <v>46</v>
      </c>
      <c r="D100" s="19" t="str">
        <f t="shared" si="7"/>
        <v>前八週無拉料</v>
      </c>
      <c r="E100" s="16" t="str">
        <f t="shared" si="8"/>
        <v>--</v>
      </c>
      <c r="F100" s="16" t="str">
        <f t="shared" si="9"/>
        <v>--</v>
      </c>
      <c r="G100" s="16" t="str">
        <f t="shared" si="10"/>
        <v>--</v>
      </c>
      <c r="H100" s="24" t="str">
        <f>IFERROR(VLOOKUP(B100,#REF!,8,FALSE),"")</f>
        <v/>
      </c>
      <c r="I100" s="17">
        <v>37500</v>
      </c>
      <c r="J100" s="17">
        <v>0</v>
      </c>
      <c r="K100" s="24" t="str">
        <f>IFERROR(VLOOKUP(B100,#REF!,11,FALSE),"")</f>
        <v/>
      </c>
      <c r="L100" s="17">
        <v>12500</v>
      </c>
      <c r="M100" s="6" t="s">
        <v>745</v>
      </c>
      <c r="N100" s="18" t="str">
        <f>IFERROR(VLOOKUP(B100,#REF!,13,FALSE),"")</f>
        <v/>
      </c>
      <c r="O100" s="19" t="str">
        <f>IFERROR(VLOOKUP(B100,#REF!,14,FALSE),"")</f>
        <v/>
      </c>
      <c r="P100" s="19" t="str">
        <f>IFERROR(VLOOKUP(B100,#REF!,15,FALSE),"")</f>
        <v/>
      </c>
      <c r="Q100" s="19"/>
      <c r="R100" s="25" t="str">
        <f>IFERROR(VLOOKUP(B100,#REF!,16,FALSE),"")</f>
        <v/>
      </c>
      <c r="S100" s="17">
        <v>0</v>
      </c>
      <c r="T100" s="17">
        <v>12500</v>
      </c>
      <c r="U100" s="17">
        <v>0</v>
      </c>
      <c r="V100" s="17">
        <v>0</v>
      </c>
      <c r="W100" s="20">
        <v>50000</v>
      </c>
      <c r="X100" s="16" t="s">
        <v>40</v>
      </c>
      <c r="Y100" s="21" t="s">
        <v>40</v>
      </c>
      <c r="Z100" s="20">
        <v>0</v>
      </c>
      <c r="AA100" s="17" t="s">
        <v>40</v>
      </c>
      <c r="AB100" s="22" t="s">
        <v>41</v>
      </c>
      <c r="AC100" s="23" t="str">
        <f t="shared" si="11"/>
        <v>E</v>
      </c>
      <c r="AD100" s="17">
        <v>0</v>
      </c>
      <c r="AE100" s="17">
        <v>0</v>
      </c>
      <c r="AF100" s="17">
        <v>0</v>
      </c>
      <c r="AG100" s="17">
        <v>0</v>
      </c>
      <c r="AH100" s="15" t="s">
        <v>42</v>
      </c>
    </row>
    <row r="101" spans="1:34">
      <c r="A101" s="13" t="str">
        <f t="shared" si="6"/>
        <v>ZeroZero</v>
      </c>
      <c r="B101" s="14" t="s">
        <v>543</v>
      </c>
      <c r="C101" s="15" t="s">
        <v>269</v>
      </c>
      <c r="D101" s="19" t="str">
        <f t="shared" si="7"/>
        <v>前八週無拉料</v>
      </c>
      <c r="E101" s="16" t="str">
        <f t="shared" si="8"/>
        <v>--</v>
      </c>
      <c r="F101" s="16" t="str">
        <f t="shared" si="9"/>
        <v>--</v>
      </c>
      <c r="G101" s="16" t="str">
        <f t="shared" si="10"/>
        <v>--</v>
      </c>
      <c r="H101" s="24" t="str">
        <f>IFERROR(VLOOKUP(B101,#REF!,8,FALSE),"")</f>
        <v/>
      </c>
      <c r="I101" s="17">
        <v>0</v>
      </c>
      <c r="J101" s="17">
        <v>0</v>
      </c>
      <c r="K101" s="24" t="str">
        <f>IFERROR(VLOOKUP(B101,#REF!,11,FALSE),"")</f>
        <v/>
      </c>
      <c r="L101" s="17">
        <v>52500</v>
      </c>
      <c r="M101" s="6" t="s">
        <v>748</v>
      </c>
      <c r="N101" s="18" t="str">
        <f>IFERROR(VLOOKUP(B101,#REF!,13,FALSE),"")</f>
        <v/>
      </c>
      <c r="O101" s="19" t="str">
        <f>IFERROR(VLOOKUP(B101,#REF!,14,FALSE),"")</f>
        <v/>
      </c>
      <c r="P101" s="19" t="str">
        <f>IFERROR(VLOOKUP(B101,#REF!,15,FALSE),"")</f>
        <v/>
      </c>
      <c r="Q101" s="19"/>
      <c r="R101" s="25" t="str">
        <f>IFERROR(VLOOKUP(B101,#REF!,16,FALSE),"")</f>
        <v/>
      </c>
      <c r="S101" s="17">
        <v>0</v>
      </c>
      <c r="T101" s="17">
        <v>52500</v>
      </c>
      <c r="U101" s="17">
        <v>0</v>
      </c>
      <c r="V101" s="17">
        <v>0</v>
      </c>
      <c r="W101" s="20">
        <v>52500</v>
      </c>
      <c r="X101" s="16" t="s">
        <v>40</v>
      </c>
      <c r="Y101" s="21" t="s">
        <v>40</v>
      </c>
      <c r="Z101" s="20">
        <v>0</v>
      </c>
      <c r="AA101" s="17" t="s">
        <v>40</v>
      </c>
      <c r="AB101" s="22" t="s">
        <v>41</v>
      </c>
      <c r="AC101" s="23" t="str">
        <f t="shared" si="11"/>
        <v>E</v>
      </c>
      <c r="AD101" s="17">
        <v>0</v>
      </c>
      <c r="AE101" s="17">
        <v>0</v>
      </c>
      <c r="AF101" s="17">
        <v>0</v>
      </c>
      <c r="AG101" s="17">
        <v>0</v>
      </c>
      <c r="AH101" s="15" t="s">
        <v>42</v>
      </c>
    </row>
    <row r="102" spans="1:34">
      <c r="A102" s="13" t="str">
        <f t="shared" si="6"/>
        <v>ZeroZero</v>
      </c>
      <c r="B102" s="14" t="s">
        <v>328</v>
      </c>
      <c r="C102" s="15" t="s">
        <v>280</v>
      </c>
      <c r="D102" s="19" t="str">
        <f t="shared" si="7"/>
        <v>前八週無拉料</v>
      </c>
      <c r="E102" s="16" t="str">
        <f t="shared" si="8"/>
        <v>--</v>
      </c>
      <c r="F102" s="16" t="str">
        <f t="shared" si="9"/>
        <v>--</v>
      </c>
      <c r="G102" s="16" t="str">
        <f t="shared" si="10"/>
        <v>--</v>
      </c>
      <c r="H102" s="24" t="str">
        <f>IFERROR(VLOOKUP(B102,#REF!,8,FALSE),"")</f>
        <v/>
      </c>
      <c r="I102" s="17">
        <v>0</v>
      </c>
      <c r="J102" s="17">
        <v>0</v>
      </c>
      <c r="K102" s="24" t="str">
        <f>IFERROR(VLOOKUP(B102,#REF!,11,FALSE),"")</f>
        <v/>
      </c>
      <c r="L102" s="17">
        <v>69000</v>
      </c>
      <c r="M102" s="6" t="s">
        <v>748</v>
      </c>
      <c r="N102" s="18" t="str">
        <f>IFERROR(VLOOKUP(B102,#REF!,13,FALSE),"")</f>
        <v/>
      </c>
      <c r="O102" s="19" t="str">
        <f>IFERROR(VLOOKUP(B102,#REF!,14,FALSE),"")</f>
        <v/>
      </c>
      <c r="P102" s="19" t="str">
        <f>IFERROR(VLOOKUP(B102,#REF!,15,FALSE),"")</f>
        <v/>
      </c>
      <c r="Q102" s="19"/>
      <c r="R102" s="25" t="str">
        <f>IFERROR(VLOOKUP(B102,#REF!,16,FALSE),"")</f>
        <v/>
      </c>
      <c r="S102" s="17">
        <v>0</v>
      </c>
      <c r="T102" s="17">
        <v>69000</v>
      </c>
      <c r="U102" s="17">
        <v>0</v>
      </c>
      <c r="V102" s="17">
        <v>0</v>
      </c>
      <c r="W102" s="20">
        <v>69000</v>
      </c>
      <c r="X102" s="16" t="s">
        <v>40</v>
      </c>
      <c r="Y102" s="21" t="s">
        <v>40</v>
      </c>
      <c r="Z102" s="20">
        <v>0</v>
      </c>
      <c r="AA102" s="17" t="s">
        <v>40</v>
      </c>
      <c r="AB102" s="22" t="s">
        <v>41</v>
      </c>
      <c r="AC102" s="23" t="str">
        <f t="shared" si="11"/>
        <v>E</v>
      </c>
      <c r="AD102" s="17">
        <v>0</v>
      </c>
      <c r="AE102" s="17">
        <v>0</v>
      </c>
      <c r="AF102" s="17">
        <v>0</v>
      </c>
      <c r="AG102" s="17">
        <v>0</v>
      </c>
      <c r="AH102" s="15" t="s">
        <v>42</v>
      </c>
    </row>
    <row r="103" spans="1:34">
      <c r="A103" s="13" t="str">
        <f t="shared" si="6"/>
        <v>ZeroZero</v>
      </c>
      <c r="B103" s="14" t="s">
        <v>178</v>
      </c>
      <c r="C103" s="15" t="s">
        <v>46</v>
      </c>
      <c r="D103" s="19" t="str">
        <f t="shared" si="7"/>
        <v>前八週無拉料</v>
      </c>
      <c r="E103" s="16" t="str">
        <f t="shared" si="8"/>
        <v>--</v>
      </c>
      <c r="F103" s="16" t="str">
        <f t="shared" si="9"/>
        <v>--</v>
      </c>
      <c r="G103" s="16" t="str">
        <f t="shared" si="10"/>
        <v>--</v>
      </c>
      <c r="H103" s="24" t="str">
        <f>IFERROR(VLOOKUP(B103,#REF!,8,FALSE),"")</f>
        <v/>
      </c>
      <c r="I103" s="17">
        <v>0</v>
      </c>
      <c r="J103" s="17">
        <v>0</v>
      </c>
      <c r="K103" s="24" t="str">
        <f>IFERROR(VLOOKUP(B103,#REF!,11,FALSE),"")</f>
        <v/>
      </c>
      <c r="L103" s="17">
        <v>25000</v>
      </c>
      <c r="M103" s="6" t="s">
        <v>745</v>
      </c>
      <c r="N103" s="18" t="str">
        <f>IFERROR(VLOOKUP(B103,#REF!,13,FALSE),"")</f>
        <v/>
      </c>
      <c r="O103" s="19" t="str">
        <f>IFERROR(VLOOKUP(B103,#REF!,14,FALSE),"")</f>
        <v/>
      </c>
      <c r="P103" s="19" t="str">
        <f>IFERROR(VLOOKUP(B103,#REF!,15,FALSE),"")</f>
        <v/>
      </c>
      <c r="Q103" s="19"/>
      <c r="R103" s="25" t="str">
        <f>IFERROR(VLOOKUP(B103,#REF!,16,FALSE),"")</f>
        <v/>
      </c>
      <c r="S103" s="17">
        <v>0</v>
      </c>
      <c r="T103" s="17">
        <v>25000</v>
      </c>
      <c r="U103" s="17">
        <v>0</v>
      </c>
      <c r="V103" s="17">
        <v>0</v>
      </c>
      <c r="W103" s="20">
        <v>25000</v>
      </c>
      <c r="X103" s="16" t="s">
        <v>40</v>
      </c>
      <c r="Y103" s="21" t="s">
        <v>40</v>
      </c>
      <c r="Z103" s="20">
        <v>0</v>
      </c>
      <c r="AA103" s="17" t="s">
        <v>40</v>
      </c>
      <c r="AB103" s="22" t="s">
        <v>41</v>
      </c>
      <c r="AC103" s="23" t="str">
        <f t="shared" si="11"/>
        <v>E</v>
      </c>
      <c r="AD103" s="17">
        <v>0</v>
      </c>
      <c r="AE103" s="17">
        <v>0</v>
      </c>
      <c r="AF103" s="17">
        <v>0</v>
      </c>
      <c r="AG103" s="17">
        <v>0</v>
      </c>
      <c r="AH103" s="15" t="s">
        <v>42</v>
      </c>
    </row>
    <row r="104" spans="1:34">
      <c r="A104" s="13" t="str">
        <f t="shared" si="6"/>
        <v>OverStock</v>
      </c>
      <c r="B104" s="14" t="s">
        <v>420</v>
      </c>
      <c r="C104" s="15" t="s">
        <v>280</v>
      </c>
      <c r="D104" s="19">
        <f t="shared" si="7"/>
        <v>8.8000000000000007</v>
      </c>
      <c r="E104" s="16" t="str">
        <f t="shared" si="8"/>
        <v>--</v>
      </c>
      <c r="F104" s="16">
        <f t="shared" si="9"/>
        <v>19.2</v>
      </c>
      <c r="G104" s="16" t="str">
        <f t="shared" si="10"/>
        <v>--</v>
      </c>
      <c r="H104" s="24" t="str">
        <f>IFERROR(VLOOKUP(B104,#REF!,8,FALSE),"")</f>
        <v/>
      </c>
      <c r="I104" s="17">
        <v>72000</v>
      </c>
      <c r="J104" s="17">
        <v>33000</v>
      </c>
      <c r="K104" s="24" t="str">
        <f>IFERROR(VLOOKUP(B104,#REF!,11,FALSE),"")</f>
        <v/>
      </c>
      <c r="L104" s="17">
        <v>33000</v>
      </c>
      <c r="M104" s="6" t="s">
        <v>755</v>
      </c>
      <c r="N104" s="18" t="str">
        <f>IFERROR(VLOOKUP(B104,#REF!,13,FALSE),"")</f>
        <v/>
      </c>
      <c r="O104" s="19" t="str">
        <f>IFERROR(VLOOKUP(B104,#REF!,14,FALSE),"")</f>
        <v/>
      </c>
      <c r="P104" s="19" t="str">
        <f>IFERROR(VLOOKUP(B104,#REF!,15,FALSE),"")</f>
        <v/>
      </c>
      <c r="Q104" s="19"/>
      <c r="R104" s="25" t="str">
        <f>IFERROR(VLOOKUP(B104,#REF!,16,FALSE),"")</f>
        <v/>
      </c>
      <c r="S104" s="17">
        <v>0</v>
      </c>
      <c r="T104" s="17">
        <v>18000</v>
      </c>
      <c r="U104" s="17">
        <v>15000</v>
      </c>
      <c r="V104" s="17">
        <v>0</v>
      </c>
      <c r="W104" s="20">
        <v>105000</v>
      </c>
      <c r="X104" s="16">
        <v>28</v>
      </c>
      <c r="Y104" s="21" t="s">
        <v>40</v>
      </c>
      <c r="Z104" s="20">
        <v>3750</v>
      </c>
      <c r="AA104" s="17">
        <v>0</v>
      </c>
      <c r="AB104" s="22" t="s">
        <v>41</v>
      </c>
      <c r="AC104" s="23" t="str">
        <f t="shared" si="11"/>
        <v>E</v>
      </c>
      <c r="AD104" s="17">
        <v>0</v>
      </c>
      <c r="AE104" s="17">
        <v>0</v>
      </c>
      <c r="AF104" s="17">
        <v>0</v>
      </c>
      <c r="AG104" s="17">
        <v>0</v>
      </c>
      <c r="AH104" s="15" t="s">
        <v>42</v>
      </c>
    </row>
    <row r="105" spans="1:34">
      <c r="A105" s="13" t="str">
        <f t="shared" si="6"/>
        <v>ZeroZero</v>
      </c>
      <c r="B105" s="14" t="s">
        <v>234</v>
      </c>
      <c r="C105" s="15" t="s">
        <v>46</v>
      </c>
      <c r="D105" s="19" t="str">
        <f t="shared" si="7"/>
        <v>前八週無拉料</v>
      </c>
      <c r="E105" s="16" t="str">
        <f t="shared" si="8"/>
        <v>--</v>
      </c>
      <c r="F105" s="16" t="str">
        <f t="shared" si="9"/>
        <v>--</v>
      </c>
      <c r="G105" s="16" t="str">
        <f t="shared" si="10"/>
        <v>--</v>
      </c>
      <c r="H105" s="24" t="str">
        <f>IFERROR(VLOOKUP(B105,#REF!,8,FALSE),"")</f>
        <v/>
      </c>
      <c r="I105" s="17">
        <v>0</v>
      </c>
      <c r="J105" s="17">
        <v>0</v>
      </c>
      <c r="K105" s="24" t="str">
        <f>IFERROR(VLOOKUP(B105,#REF!,11,FALSE),"")</f>
        <v/>
      </c>
      <c r="L105" s="17">
        <v>7340</v>
      </c>
      <c r="M105" s="6" t="s">
        <v>745</v>
      </c>
      <c r="N105" s="18" t="str">
        <f>IFERROR(VLOOKUP(B105,#REF!,13,FALSE),"")</f>
        <v/>
      </c>
      <c r="O105" s="19" t="str">
        <f>IFERROR(VLOOKUP(B105,#REF!,14,FALSE),"")</f>
        <v/>
      </c>
      <c r="P105" s="19" t="str">
        <f>IFERROR(VLOOKUP(B105,#REF!,15,FALSE),"")</f>
        <v/>
      </c>
      <c r="Q105" s="19"/>
      <c r="R105" s="25" t="str">
        <f>IFERROR(VLOOKUP(B105,#REF!,16,FALSE),"")</f>
        <v/>
      </c>
      <c r="S105" s="17">
        <v>0</v>
      </c>
      <c r="T105" s="17">
        <v>7340</v>
      </c>
      <c r="U105" s="17">
        <v>0</v>
      </c>
      <c r="V105" s="17">
        <v>0</v>
      </c>
      <c r="W105" s="20">
        <v>7340</v>
      </c>
      <c r="X105" s="16" t="s">
        <v>40</v>
      </c>
      <c r="Y105" s="21" t="s">
        <v>40</v>
      </c>
      <c r="Z105" s="20">
        <v>0</v>
      </c>
      <c r="AA105" s="17">
        <v>0</v>
      </c>
      <c r="AB105" s="22" t="s">
        <v>41</v>
      </c>
      <c r="AC105" s="23" t="str">
        <f t="shared" si="11"/>
        <v>E</v>
      </c>
      <c r="AD105" s="17">
        <v>0</v>
      </c>
      <c r="AE105" s="17">
        <v>0</v>
      </c>
      <c r="AF105" s="17">
        <v>0</v>
      </c>
      <c r="AG105" s="17">
        <v>0</v>
      </c>
      <c r="AH105" s="15" t="s">
        <v>42</v>
      </c>
    </row>
    <row r="106" spans="1:34">
      <c r="A106" s="13" t="str">
        <f t="shared" si="6"/>
        <v>OverStock</v>
      </c>
      <c r="B106" s="14" t="s">
        <v>473</v>
      </c>
      <c r="C106" s="15" t="s">
        <v>280</v>
      </c>
      <c r="D106" s="19">
        <f t="shared" si="7"/>
        <v>26</v>
      </c>
      <c r="E106" s="16">
        <f t="shared" si="8"/>
        <v>17.8</v>
      </c>
      <c r="F106" s="16">
        <f t="shared" si="9"/>
        <v>19</v>
      </c>
      <c r="G106" s="16">
        <f t="shared" si="10"/>
        <v>13</v>
      </c>
      <c r="H106" s="24" t="str">
        <f>IFERROR(VLOOKUP(B106,#REF!,8,FALSE),"")</f>
        <v/>
      </c>
      <c r="I106" s="17">
        <v>95000</v>
      </c>
      <c r="J106" s="17">
        <v>20000</v>
      </c>
      <c r="K106" s="24" t="str">
        <f>IFERROR(VLOOKUP(B106,#REF!,11,FALSE),"")</f>
        <v/>
      </c>
      <c r="L106" s="17">
        <v>130000</v>
      </c>
      <c r="M106" s="6" t="s">
        <v>748</v>
      </c>
      <c r="N106" s="18" t="str">
        <f>IFERROR(VLOOKUP(B106,#REF!,13,FALSE),"")</f>
        <v/>
      </c>
      <c r="O106" s="19" t="str">
        <f>IFERROR(VLOOKUP(B106,#REF!,14,FALSE),"")</f>
        <v/>
      </c>
      <c r="P106" s="19" t="str">
        <f>IFERROR(VLOOKUP(B106,#REF!,15,FALSE),"")</f>
        <v/>
      </c>
      <c r="Q106" s="19"/>
      <c r="R106" s="25" t="str">
        <f>IFERROR(VLOOKUP(B106,#REF!,16,FALSE),"")</f>
        <v/>
      </c>
      <c r="S106" s="17">
        <v>0</v>
      </c>
      <c r="T106" s="17">
        <v>95000</v>
      </c>
      <c r="U106" s="17">
        <v>35000</v>
      </c>
      <c r="V106" s="17">
        <v>0</v>
      </c>
      <c r="W106" s="20">
        <v>225000</v>
      </c>
      <c r="X106" s="16">
        <v>45</v>
      </c>
      <c r="Y106" s="21">
        <v>30.7</v>
      </c>
      <c r="Z106" s="20">
        <v>5000</v>
      </c>
      <c r="AA106" s="17">
        <v>7322</v>
      </c>
      <c r="AB106" s="22">
        <v>1.5</v>
      </c>
      <c r="AC106" s="23">
        <f t="shared" si="11"/>
        <v>100</v>
      </c>
      <c r="AD106" s="17">
        <v>11200</v>
      </c>
      <c r="AE106" s="17">
        <v>28600</v>
      </c>
      <c r="AF106" s="17">
        <v>27800</v>
      </c>
      <c r="AG106" s="17">
        <v>25900</v>
      </c>
      <c r="AH106" s="15" t="s">
        <v>42</v>
      </c>
    </row>
    <row r="107" spans="1:34">
      <c r="A107" s="13" t="str">
        <f t="shared" si="6"/>
        <v>OverStock</v>
      </c>
      <c r="B107" s="14" t="s">
        <v>529</v>
      </c>
      <c r="C107" s="15" t="s">
        <v>277</v>
      </c>
      <c r="D107" s="19">
        <f t="shared" si="7"/>
        <v>9.1999999999999993</v>
      </c>
      <c r="E107" s="16" t="str">
        <f t="shared" si="8"/>
        <v>--</v>
      </c>
      <c r="F107" s="16">
        <f t="shared" si="9"/>
        <v>9.6</v>
      </c>
      <c r="G107" s="16" t="str">
        <f t="shared" si="10"/>
        <v>--</v>
      </c>
      <c r="H107" s="24" t="str">
        <f>IFERROR(VLOOKUP(B107,#REF!,8,FALSE),"")</f>
        <v/>
      </c>
      <c r="I107" s="17">
        <v>72000</v>
      </c>
      <c r="J107" s="17">
        <v>36000</v>
      </c>
      <c r="K107" s="24" t="str">
        <f>IFERROR(VLOOKUP(B107,#REF!,11,FALSE),"")</f>
        <v/>
      </c>
      <c r="L107" s="17">
        <v>69000</v>
      </c>
      <c r="M107" s="6" t="s">
        <v>746</v>
      </c>
      <c r="N107" s="18" t="str">
        <f>IFERROR(VLOOKUP(B107,#REF!,13,FALSE),"")</f>
        <v/>
      </c>
      <c r="O107" s="19" t="str">
        <f>IFERROR(VLOOKUP(B107,#REF!,14,FALSE),"")</f>
        <v/>
      </c>
      <c r="P107" s="19" t="str">
        <f>IFERROR(VLOOKUP(B107,#REF!,15,FALSE),"")</f>
        <v/>
      </c>
      <c r="Q107" s="19"/>
      <c r="R107" s="25" t="str">
        <f>IFERROR(VLOOKUP(B107,#REF!,16,FALSE),"")</f>
        <v/>
      </c>
      <c r="S107" s="17">
        <v>0</v>
      </c>
      <c r="T107" s="17">
        <v>69000</v>
      </c>
      <c r="U107" s="17">
        <v>0</v>
      </c>
      <c r="V107" s="17">
        <v>0</v>
      </c>
      <c r="W107" s="20">
        <v>141000</v>
      </c>
      <c r="X107" s="16">
        <v>18.8</v>
      </c>
      <c r="Y107" s="21" t="s">
        <v>40</v>
      </c>
      <c r="Z107" s="20">
        <v>7500</v>
      </c>
      <c r="AA107" s="17" t="s">
        <v>40</v>
      </c>
      <c r="AB107" s="22" t="s">
        <v>41</v>
      </c>
      <c r="AC107" s="23" t="str">
        <f t="shared" si="11"/>
        <v>E</v>
      </c>
      <c r="AD107" s="17">
        <v>0</v>
      </c>
      <c r="AE107" s="17">
        <v>0</v>
      </c>
      <c r="AF107" s="17">
        <v>0</v>
      </c>
      <c r="AG107" s="17">
        <v>0</v>
      </c>
      <c r="AH107" s="15" t="s">
        <v>42</v>
      </c>
    </row>
    <row r="108" spans="1:34">
      <c r="A108" s="13" t="str">
        <f t="shared" si="6"/>
        <v>OverStock</v>
      </c>
      <c r="B108" s="14" t="s">
        <v>514</v>
      </c>
      <c r="C108" s="15" t="s">
        <v>280</v>
      </c>
      <c r="D108" s="19">
        <f t="shared" si="7"/>
        <v>13.5</v>
      </c>
      <c r="E108" s="16" t="str">
        <f t="shared" si="8"/>
        <v>--</v>
      </c>
      <c r="F108" s="16">
        <f t="shared" si="9"/>
        <v>47.2</v>
      </c>
      <c r="G108" s="16" t="str">
        <f t="shared" si="10"/>
        <v>--</v>
      </c>
      <c r="H108" s="24" t="str">
        <f>IFERROR(VLOOKUP(B108,#REF!,8,FALSE),"")</f>
        <v/>
      </c>
      <c r="I108" s="17">
        <v>690000</v>
      </c>
      <c r="J108" s="17">
        <v>690000</v>
      </c>
      <c r="K108" s="24" t="str">
        <f>IFERROR(VLOOKUP(B108,#REF!,11,FALSE),"")</f>
        <v/>
      </c>
      <c r="L108" s="17">
        <v>198000</v>
      </c>
      <c r="M108" s="6" t="s">
        <v>753</v>
      </c>
      <c r="N108" s="18" t="str">
        <f>IFERROR(VLOOKUP(B108,#REF!,13,FALSE),"")</f>
        <v/>
      </c>
      <c r="O108" s="19" t="str">
        <f>IFERROR(VLOOKUP(B108,#REF!,14,FALSE),"")</f>
        <v/>
      </c>
      <c r="P108" s="19" t="str">
        <f>IFERROR(VLOOKUP(B108,#REF!,15,FALSE),"")</f>
        <v/>
      </c>
      <c r="Q108" s="19"/>
      <c r="R108" s="25" t="str">
        <f>IFERROR(VLOOKUP(B108,#REF!,16,FALSE),"")</f>
        <v/>
      </c>
      <c r="S108" s="17">
        <v>0</v>
      </c>
      <c r="T108" s="17">
        <v>198000</v>
      </c>
      <c r="U108" s="17">
        <v>0</v>
      </c>
      <c r="V108" s="17">
        <v>0</v>
      </c>
      <c r="W108" s="20">
        <v>888000</v>
      </c>
      <c r="X108" s="16">
        <v>60.7</v>
      </c>
      <c r="Y108" s="21" t="s">
        <v>40</v>
      </c>
      <c r="Z108" s="20">
        <v>14625</v>
      </c>
      <c r="AA108" s="17" t="s">
        <v>40</v>
      </c>
      <c r="AB108" s="22" t="s">
        <v>41</v>
      </c>
      <c r="AC108" s="23" t="str">
        <f t="shared" si="11"/>
        <v>E</v>
      </c>
      <c r="AD108" s="17">
        <v>0</v>
      </c>
      <c r="AE108" s="17">
        <v>0</v>
      </c>
      <c r="AF108" s="17">
        <v>0</v>
      </c>
      <c r="AG108" s="17">
        <v>0</v>
      </c>
      <c r="AH108" s="15" t="s">
        <v>42</v>
      </c>
    </row>
    <row r="109" spans="1:34">
      <c r="A109" s="13" t="str">
        <f t="shared" si="6"/>
        <v>ZeroZero</v>
      </c>
      <c r="B109" s="14" t="s">
        <v>508</v>
      </c>
      <c r="C109" s="15" t="s">
        <v>280</v>
      </c>
      <c r="D109" s="19" t="str">
        <f t="shared" si="7"/>
        <v>前八週無拉料</v>
      </c>
      <c r="E109" s="16" t="str">
        <f t="shared" si="8"/>
        <v>--</v>
      </c>
      <c r="F109" s="16" t="str">
        <f t="shared" si="9"/>
        <v>--</v>
      </c>
      <c r="G109" s="16" t="str">
        <f t="shared" si="10"/>
        <v>--</v>
      </c>
      <c r="H109" s="24" t="str">
        <f>IFERROR(VLOOKUP(B109,#REF!,8,FALSE),"")</f>
        <v/>
      </c>
      <c r="I109" s="17">
        <v>0</v>
      </c>
      <c r="J109" s="17">
        <v>0</v>
      </c>
      <c r="K109" s="24" t="str">
        <f>IFERROR(VLOOKUP(B109,#REF!,11,FALSE),"")</f>
        <v/>
      </c>
      <c r="L109" s="17">
        <v>110000</v>
      </c>
      <c r="M109" s="6" t="s">
        <v>761</v>
      </c>
      <c r="N109" s="18" t="str">
        <f>IFERROR(VLOOKUP(B109,#REF!,13,FALSE),"")</f>
        <v/>
      </c>
      <c r="O109" s="19" t="str">
        <f>IFERROR(VLOOKUP(B109,#REF!,14,FALSE),"")</f>
        <v/>
      </c>
      <c r="P109" s="19" t="str">
        <f>IFERROR(VLOOKUP(B109,#REF!,15,FALSE),"")</f>
        <v/>
      </c>
      <c r="Q109" s="19"/>
      <c r="R109" s="25" t="str">
        <f>IFERROR(VLOOKUP(B109,#REF!,16,FALSE),"")</f>
        <v/>
      </c>
      <c r="S109" s="17">
        <v>0</v>
      </c>
      <c r="T109" s="17">
        <v>110000</v>
      </c>
      <c r="U109" s="17">
        <v>0</v>
      </c>
      <c r="V109" s="17">
        <v>0</v>
      </c>
      <c r="W109" s="20">
        <v>110000</v>
      </c>
      <c r="X109" s="16" t="s">
        <v>40</v>
      </c>
      <c r="Y109" s="21" t="s">
        <v>40</v>
      </c>
      <c r="Z109" s="20">
        <v>0</v>
      </c>
      <c r="AA109" s="17" t="s">
        <v>40</v>
      </c>
      <c r="AB109" s="22" t="s">
        <v>41</v>
      </c>
      <c r="AC109" s="23" t="str">
        <f t="shared" si="11"/>
        <v>E</v>
      </c>
      <c r="AD109" s="17">
        <v>0</v>
      </c>
      <c r="AE109" s="17">
        <v>0</v>
      </c>
      <c r="AF109" s="17">
        <v>0</v>
      </c>
      <c r="AG109" s="17">
        <v>0</v>
      </c>
      <c r="AH109" s="15" t="s">
        <v>42</v>
      </c>
    </row>
    <row r="110" spans="1:34">
      <c r="A110" s="13" t="str">
        <f t="shared" si="6"/>
        <v>ZeroZero</v>
      </c>
      <c r="B110" s="14" t="s">
        <v>162</v>
      </c>
      <c r="C110" s="15" t="s">
        <v>46</v>
      </c>
      <c r="D110" s="19" t="str">
        <f t="shared" si="7"/>
        <v>前八週無拉料</v>
      </c>
      <c r="E110" s="16" t="str">
        <f t="shared" si="8"/>
        <v>--</v>
      </c>
      <c r="F110" s="16" t="str">
        <f t="shared" si="9"/>
        <v>--</v>
      </c>
      <c r="G110" s="16" t="str">
        <f t="shared" si="10"/>
        <v>--</v>
      </c>
      <c r="H110" s="24" t="str">
        <f>IFERROR(VLOOKUP(B110,#REF!,8,FALSE),"")</f>
        <v/>
      </c>
      <c r="I110" s="17">
        <v>0</v>
      </c>
      <c r="J110" s="17">
        <v>0</v>
      </c>
      <c r="K110" s="24" t="str">
        <f>IFERROR(VLOOKUP(B110,#REF!,11,FALSE),"")</f>
        <v/>
      </c>
      <c r="L110" s="17">
        <v>5000</v>
      </c>
      <c r="M110" s="6" t="s">
        <v>745</v>
      </c>
      <c r="N110" s="18" t="str">
        <f>IFERROR(VLOOKUP(B110,#REF!,13,FALSE),"")</f>
        <v/>
      </c>
      <c r="O110" s="19" t="str">
        <f>IFERROR(VLOOKUP(B110,#REF!,14,FALSE),"")</f>
        <v/>
      </c>
      <c r="P110" s="19" t="str">
        <f>IFERROR(VLOOKUP(B110,#REF!,15,FALSE),"")</f>
        <v/>
      </c>
      <c r="Q110" s="19"/>
      <c r="R110" s="25" t="str">
        <f>IFERROR(VLOOKUP(B110,#REF!,16,FALSE),"")</f>
        <v/>
      </c>
      <c r="S110" s="17">
        <v>0</v>
      </c>
      <c r="T110" s="17">
        <v>5000</v>
      </c>
      <c r="U110" s="17">
        <v>0</v>
      </c>
      <c r="V110" s="17">
        <v>0</v>
      </c>
      <c r="W110" s="20">
        <v>5000</v>
      </c>
      <c r="X110" s="16" t="s">
        <v>40</v>
      </c>
      <c r="Y110" s="21" t="s">
        <v>40</v>
      </c>
      <c r="Z110" s="20">
        <v>0</v>
      </c>
      <c r="AA110" s="17" t="s">
        <v>40</v>
      </c>
      <c r="AB110" s="22" t="s">
        <v>41</v>
      </c>
      <c r="AC110" s="23" t="str">
        <f t="shared" si="11"/>
        <v>E</v>
      </c>
      <c r="AD110" s="17">
        <v>0</v>
      </c>
      <c r="AE110" s="17">
        <v>0</v>
      </c>
      <c r="AF110" s="17">
        <v>0</v>
      </c>
      <c r="AG110" s="17">
        <v>0</v>
      </c>
      <c r="AH110" s="15" t="s">
        <v>42</v>
      </c>
    </row>
    <row r="111" spans="1:34">
      <c r="A111" s="13" t="str">
        <f t="shared" si="6"/>
        <v>OverStock</v>
      </c>
      <c r="B111" s="14" t="s">
        <v>713</v>
      </c>
      <c r="C111" s="15" t="s">
        <v>709</v>
      </c>
      <c r="D111" s="19">
        <f t="shared" si="7"/>
        <v>8.6999999999999993</v>
      </c>
      <c r="E111" s="16">
        <f t="shared" si="8"/>
        <v>9.5</v>
      </c>
      <c r="F111" s="16">
        <f t="shared" si="9"/>
        <v>8.1999999999999993</v>
      </c>
      <c r="G111" s="16">
        <f t="shared" si="10"/>
        <v>9</v>
      </c>
      <c r="H111" s="24" t="str">
        <f>IFERROR(VLOOKUP(B111,#REF!,8,FALSE),"")</f>
        <v/>
      </c>
      <c r="I111" s="17">
        <v>90000</v>
      </c>
      <c r="J111" s="17">
        <v>0</v>
      </c>
      <c r="K111" s="24" t="str">
        <f>IFERROR(VLOOKUP(B111,#REF!,11,FALSE),"")</f>
        <v/>
      </c>
      <c r="L111" s="17">
        <v>95000</v>
      </c>
      <c r="M111" s="6" t="s">
        <v>748</v>
      </c>
      <c r="N111" s="18" t="str">
        <f>IFERROR(VLOOKUP(B111,#REF!,13,FALSE),"")</f>
        <v/>
      </c>
      <c r="O111" s="19" t="str">
        <f>IFERROR(VLOOKUP(B111,#REF!,14,FALSE),"")</f>
        <v/>
      </c>
      <c r="P111" s="19" t="str">
        <f>IFERROR(VLOOKUP(B111,#REF!,15,FALSE),"")</f>
        <v/>
      </c>
      <c r="Q111" s="19"/>
      <c r="R111" s="25" t="str">
        <f>IFERROR(VLOOKUP(B111,#REF!,16,FALSE),"")</f>
        <v/>
      </c>
      <c r="S111" s="17">
        <v>0</v>
      </c>
      <c r="T111" s="17">
        <v>35000</v>
      </c>
      <c r="U111" s="17">
        <v>60000</v>
      </c>
      <c r="V111" s="17">
        <v>0</v>
      </c>
      <c r="W111" s="20">
        <v>185000</v>
      </c>
      <c r="X111" s="16">
        <v>16.899999999999999</v>
      </c>
      <c r="Y111" s="21">
        <v>18.399999999999999</v>
      </c>
      <c r="Z111" s="20">
        <v>10938</v>
      </c>
      <c r="AA111" s="17">
        <v>10048</v>
      </c>
      <c r="AB111" s="22">
        <v>0.9</v>
      </c>
      <c r="AC111" s="23">
        <f t="shared" si="11"/>
        <v>100</v>
      </c>
      <c r="AD111" s="17">
        <v>0</v>
      </c>
      <c r="AE111" s="17">
        <v>75333</v>
      </c>
      <c r="AF111" s="17">
        <v>15100</v>
      </c>
      <c r="AG111" s="17">
        <v>48940</v>
      </c>
      <c r="AH111" s="15" t="s">
        <v>42</v>
      </c>
    </row>
    <row r="112" spans="1:34">
      <c r="A112" s="13" t="str">
        <f t="shared" si="6"/>
        <v>OverStock</v>
      </c>
      <c r="B112" s="14" t="s">
        <v>459</v>
      </c>
      <c r="C112" s="15" t="s">
        <v>280</v>
      </c>
      <c r="D112" s="19">
        <f t="shared" si="7"/>
        <v>30</v>
      </c>
      <c r="E112" s="16" t="str">
        <f t="shared" si="8"/>
        <v>--</v>
      </c>
      <c r="F112" s="16">
        <f t="shared" si="9"/>
        <v>24</v>
      </c>
      <c r="G112" s="16" t="str">
        <f t="shared" si="10"/>
        <v>--</v>
      </c>
      <c r="H112" s="24" t="str">
        <f>IFERROR(VLOOKUP(B112,#REF!,8,FALSE),"")</f>
        <v/>
      </c>
      <c r="I112" s="17">
        <v>60000</v>
      </c>
      <c r="J112" s="17">
        <v>60000</v>
      </c>
      <c r="K112" s="24" t="str">
        <f>IFERROR(VLOOKUP(B112,#REF!,11,FALSE),"")</f>
        <v/>
      </c>
      <c r="L112" s="17">
        <v>75000</v>
      </c>
      <c r="M112" s="6" t="s">
        <v>755</v>
      </c>
      <c r="N112" s="18" t="str">
        <f>IFERROR(VLOOKUP(B112,#REF!,13,FALSE),"")</f>
        <v/>
      </c>
      <c r="O112" s="19" t="str">
        <f>IFERROR(VLOOKUP(B112,#REF!,14,FALSE),"")</f>
        <v/>
      </c>
      <c r="P112" s="19" t="str">
        <f>IFERROR(VLOOKUP(B112,#REF!,15,FALSE),"")</f>
        <v/>
      </c>
      <c r="Q112" s="19"/>
      <c r="R112" s="25" t="str">
        <f>IFERROR(VLOOKUP(B112,#REF!,16,FALSE),"")</f>
        <v/>
      </c>
      <c r="S112" s="17">
        <v>0</v>
      </c>
      <c r="T112" s="17">
        <v>75000</v>
      </c>
      <c r="U112" s="17">
        <v>0</v>
      </c>
      <c r="V112" s="17">
        <v>0</v>
      </c>
      <c r="W112" s="20">
        <v>135000</v>
      </c>
      <c r="X112" s="16">
        <v>54</v>
      </c>
      <c r="Y112" s="21" t="s">
        <v>40</v>
      </c>
      <c r="Z112" s="20">
        <v>2500</v>
      </c>
      <c r="AA112" s="17" t="s">
        <v>40</v>
      </c>
      <c r="AB112" s="22" t="s">
        <v>41</v>
      </c>
      <c r="AC112" s="23" t="str">
        <f t="shared" si="11"/>
        <v>E</v>
      </c>
      <c r="AD112" s="17">
        <v>0</v>
      </c>
      <c r="AE112" s="17">
        <v>0</v>
      </c>
      <c r="AF112" s="17">
        <v>0</v>
      </c>
      <c r="AG112" s="17">
        <v>0</v>
      </c>
      <c r="AH112" s="15" t="s">
        <v>42</v>
      </c>
    </row>
    <row r="113" spans="1:34">
      <c r="A113" s="13" t="str">
        <f t="shared" si="6"/>
        <v>ZeroZero</v>
      </c>
      <c r="B113" s="14" t="s">
        <v>89</v>
      </c>
      <c r="C113" s="15" t="s">
        <v>46</v>
      </c>
      <c r="D113" s="19" t="str">
        <f t="shared" si="7"/>
        <v>前八週無拉料</v>
      </c>
      <c r="E113" s="16" t="str">
        <f t="shared" si="8"/>
        <v>--</v>
      </c>
      <c r="F113" s="16" t="str">
        <f t="shared" si="9"/>
        <v>--</v>
      </c>
      <c r="G113" s="16" t="str">
        <f t="shared" si="10"/>
        <v>--</v>
      </c>
      <c r="H113" s="24" t="str">
        <f>IFERROR(VLOOKUP(B113,#REF!,8,FALSE),"")</f>
        <v/>
      </c>
      <c r="I113" s="17">
        <v>0</v>
      </c>
      <c r="J113" s="17">
        <v>0</v>
      </c>
      <c r="K113" s="24" t="str">
        <f>IFERROR(VLOOKUP(B113,#REF!,11,FALSE),"")</f>
        <v/>
      </c>
      <c r="L113" s="17">
        <v>40000</v>
      </c>
      <c r="M113" s="6" t="s">
        <v>745</v>
      </c>
      <c r="N113" s="18" t="str">
        <f>IFERROR(VLOOKUP(B113,#REF!,13,FALSE),"")</f>
        <v/>
      </c>
      <c r="O113" s="19" t="str">
        <f>IFERROR(VLOOKUP(B113,#REF!,14,FALSE),"")</f>
        <v/>
      </c>
      <c r="P113" s="19" t="str">
        <f>IFERROR(VLOOKUP(B113,#REF!,15,FALSE),"")</f>
        <v/>
      </c>
      <c r="Q113" s="19"/>
      <c r="R113" s="25" t="str">
        <f>IFERROR(VLOOKUP(B113,#REF!,16,FALSE),"")</f>
        <v/>
      </c>
      <c r="S113" s="17">
        <v>0</v>
      </c>
      <c r="T113" s="17">
        <v>40000</v>
      </c>
      <c r="U113" s="17">
        <v>0</v>
      </c>
      <c r="V113" s="17">
        <v>0</v>
      </c>
      <c r="W113" s="20">
        <v>40000</v>
      </c>
      <c r="X113" s="16" t="s">
        <v>40</v>
      </c>
      <c r="Y113" s="21" t="s">
        <v>40</v>
      </c>
      <c r="Z113" s="20">
        <v>0</v>
      </c>
      <c r="AA113" s="17" t="s">
        <v>40</v>
      </c>
      <c r="AB113" s="22" t="s">
        <v>41</v>
      </c>
      <c r="AC113" s="23" t="str">
        <f t="shared" si="11"/>
        <v>E</v>
      </c>
      <c r="AD113" s="17">
        <v>0</v>
      </c>
      <c r="AE113" s="17">
        <v>0</v>
      </c>
      <c r="AF113" s="17">
        <v>0</v>
      </c>
      <c r="AG113" s="17">
        <v>0</v>
      </c>
      <c r="AH113" s="15" t="s">
        <v>42</v>
      </c>
    </row>
    <row r="114" spans="1:34">
      <c r="A114" s="13" t="str">
        <f t="shared" si="6"/>
        <v>OverStock</v>
      </c>
      <c r="B114" s="14" t="s">
        <v>446</v>
      </c>
      <c r="C114" s="15" t="s">
        <v>280</v>
      </c>
      <c r="D114" s="19">
        <f t="shared" si="7"/>
        <v>27.2</v>
      </c>
      <c r="E114" s="16">
        <f t="shared" si="8"/>
        <v>91.7</v>
      </c>
      <c r="F114" s="16">
        <f t="shared" si="9"/>
        <v>16</v>
      </c>
      <c r="G114" s="16">
        <f t="shared" si="10"/>
        <v>54</v>
      </c>
      <c r="H114" s="24" t="str">
        <f>IFERROR(VLOOKUP(B114,#REF!,8,FALSE),"")</f>
        <v/>
      </c>
      <c r="I114" s="17">
        <v>30000</v>
      </c>
      <c r="J114" s="17">
        <v>30000</v>
      </c>
      <c r="K114" s="24" t="str">
        <f>IFERROR(VLOOKUP(B114,#REF!,11,FALSE),"")</f>
        <v/>
      </c>
      <c r="L114" s="17">
        <v>51000</v>
      </c>
      <c r="M114" s="6" t="s">
        <v>748</v>
      </c>
      <c r="N114" s="18" t="str">
        <f>IFERROR(VLOOKUP(B114,#REF!,13,FALSE),"")</f>
        <v/>
      </c>
      <c r="O114" s="19" t="str">
        <f>IFERROR(VLOOKUP(B114,#REF!,14,FALSE),"")</f>
        <v/>
      </c>
      <c r="P114" s="19" t="str">
        <f>IFERROR(VLOOKUP(B114,#REF!,15,FALSE),"")</f>
        <v/>
      </c>
      <c r="Q114" s="19"/>
      <c r="R114" s="25" t="str">
        <f>IFERROR(VLOOKUP(B114,#REF!,16,FALSE),"")</f>
        <v/>
      </c>
      <c r="S114" s="17">
        <v>0</v>
      </c>
      <c r="T114" s="17">
        <v>18000</v>
      </c>
      <c r="U114" s="17">
        <v>33000</v>
      </c>
      <c r="V114" s="17">
        <v>0</v>
      </c>
      <c r="W114" s="20">
        <v>81000</v>
      </c>
      <c r="X114" s="16">
        <v>43.2</v>
      </c>
      <c r="Y114" s="21">
        <v>145.69999999999999</v>
      </c>
      <c r="Z114" s="20">
        <v>1875</v>
      </c>
      <c r="AA114" s="17">
        <v>556</v>
      </c>
      <c r="AB114" s="22">
        <v>0.3</v>
      </c>
      <c r="AC114" s="23">
        <f t="shared" si="11"/>
        <v>50</v>
      </c>
      <c r="AD114" s="17">
        <v>0</v>
      </c>
      <c r="AE114" s="17">
        <v>2005</v>
      </c>
      <c r="AF114" s="17">
        <v>3000</v>
      </c>
      <c r="AG114" s="17">
        <v>5500</v>
      </c>
      <c r="AH114" s="15" t="s">
        <v>42</v>
      </c>
    </row>
    <row r="115" spans="1:34">
      <c r="A115" s="13" t="str">
        <f t="shared" si="6"/>
        <v>OverStock</v>
      </c>
      <c r="B115" s="14" t="s">
        <v>485</v>
      </c>
      <c r="C115" s="15" t="s">
        <v>280</v>
      </c>
      <c r="D115" s="19">
        <f t="shared" si="7"/>
        <v>18</v>
      </c>
      <c r="E115" s="16" t="str">
        <f t="shared" si="8"/>
        <v>--</v>
      </c>
      <c r="F115" s="16">
        <f t="shared" si="9"/>
        <v>16</v>
      </c>
      <c r="G115" s="16" t="str">
        <f t="shared" si="10"/>
        <v>--</v>
      </c>
      <c r="H115" s="24" t="str">
        <f>IFERROR(VLOOKUP(B115,#REF!,8,FALSE),"")</f>
        <v/>
      </c>
      <c r="I115" s="17">
        <v>24000</v>
      </c>
      <c r="J115" s="17">
        <v>0</v>
      </c>
      <c r="K115" s="24" t="str">
        <f>IFERROR(VLOOKUP(B115,#REF!,11,FALSE),"")</f>
        <v/>
      </c>
      <c r="L115" s="17">
        <v>27000</v>
      </c>
      <c r="M115" s="6" t="s">
        <v>748</v>
      </c>
      <c r="N115" s="18" t="str">
        <f>IFERROR(VLOOKUP(B115,#REF!,13,FALSE),"")</f>
        <v/>
      </c>
      <c r="O115" s="19" t="str">
        <f>IFERROR(VLOOKUP(B115,#REF!,14,FALSE),"")</f>
        <v/>
      </c>
      <c r="P115" s="19" t="str">
        <f>IFERROR(VLOOKUP(B115,#REF!,15,FALSE),"")</f>
        <v/>
      </c>
      <c r="Q115" s="19"/>
      <c r="R115" s="25" t="str">
        <f>IFERROR(VLOOKUP(B115,#REF!,16,FALSE),"")</f>
        <v/>
      </c>
      <c r="S115" s="17">
        <v>0</v>
      </c>
      <c r="T115" s="17">
        <v>27000</v>
      </c>
      <c r="U115" s="17">
        <v>0</v>
      </c>
      <c r="V115" s="17">
        <v>0</v>
      </c>
      <c r="W115" s="20">
        <v>51000</v>
      </c>
      <c r="X115" s="16">
        <v>34</v>
      </c>
      <c r="Y115" s="21" t="s">
        <v>40</v>
      </c>
      <c r="Z115" s="20">
        <v>1500</v>
      </c>
      <c r="AA115" s="17" t="s">
        <v>40</v>
      </c>
      <c r="AB115" s="22" t="s">
        <v>41</v>
      </c>
      <c r="AC115" s="23" t="str">
        <f t="shared" si="11"/>
        <v>E</v>
      </c>
      <c r="AD115" s="17">
        <v>0</v>
      </c>
      <c r="AE115" s="17">
        <v>0</v>
      </c>
      <c r="AF115" s="17">
        <v>0</v>
      </c>
      <c r="AG115" s="17">
        <v>0</v>
      </c>
      <c r="AH115" s="15" t="s">
        <v>42</v>
      </c>
    </row>
    <row r="116" spans="1:34">
      <c r="A116" s="13" t="str">
        <f t="shared" si="6"/>
        <v>FCST</v>
      </c>
      <c r="B116" s="14" t="s">
        <v>237</v>
      </c>
      <c r="C116" s="15" t="s">
        <v>46</v>
      </c>
      <c r="D116" s="19" t="str">
        <f t="shared" si="7"/>
        <v>前八週無拉料</v>
      </c>
      <c r="E116" s="16">
        <f t="shared" si="8"/>
        <v>9</v>
      </c>
      <c r="F116" s="16" t="str">
        <f t="shared" si="9"/>
        <v>--</v>
      </c>
      <c r="G116" s="16">
        <f t="shared" si="10"/>
        <v>18</v>
      </c>
      <c r="H116" s="24" t="str">
        <f>IFERROR(VLOOKUP(B116,#REF!,8,FALSE),"")</f>
        <v/>
      </c>
      <c r="I116" s="17">
        <v>10000</v>
      </c>
      <c r="J116" s="17">
        <v>10000</v>
      </c>
      <c r="K116" s="24" t="str">
        <f>IFERROR(VLOOKUP(B116,#REF!,11,FALSE),"")</f>
        <v/>
      </c>
      <c r="L116" s="17">
        <v>5000</v>
      </c>
      <c r="M116" s="6" t="s">
        <v>745</v>
      </c>
      <c r="N116" s="18" t="str">
        <f>IFERROR(VLOOKUP(B116,#REF!,13,FALSE),"")</f>
        <v/>
      </c>
      <c r="O116" s="19" t="str">
        <f>IFERROR(VLOOKUP(B116,#REF!,14,FALSE),"")</f>
        <v/>
      </c>
      <c r="P116" s="19" t="str">
        <f>IFERROR(VLOOKUP(B116,#REF!,15,FALSE),"")</f>
        <v/>
      </c>
      <c r="Q116" s="19"/>
      <c r="R116" s="25" t="str">
        <f>IFERROR(VLOOKUP(B116,#REF!,16,FALSE),"")</f>
        <v/>
      </c>
      <c r="S116" s="17">
        <v>0</v>
      </c>
      <c r="T116" s="17">
        <v>5000</v>
      </c>
      <c r="U116" s="17">
        <v>0</v>
      </c>
      <c r="V116" s="17">
        <v>0</v>
      </c>
      <c r="W116" s="20">
        <v>15000</v>
      </c>
      <c r="X116" s="16" t="s">
        <v>40</v>
      </c>
      <c r="Y116" s="21">
        <v>27</v>
      </c>
      <c r="Z116" s="20">
        <v>0</v>
      </c>
      <c r="AA116" s="17">
        <v>556</v>
      </c>
      <c r="AB116" s="22" t="s">
        <v>51</v>
      </c>
      <c r="AC116" s="23" t="str">
        <f t="shared" si="11"/>
        <v>F</v>
      </c>
      <c r="AD116" s="17">
        <v>0</v>
      </c>
      <c r="AE116" s="17">
        <v>5000</v>
      </c>
      <c r="AF116" s="17">
        <v>0</v>
      </c>
      <c r="AG116" s="17">
        <v>5000</v>
      </c>
      <c r="AH116" s="15" t="s">
        <v>42</v>
      </c>
    </row>
    <row r="117" spans="1:34">
      <c r="A117" s="13" t="str">
        <f t="shared" si="6"/>
        <v>OverStock</v>
      </c>
      <c r="B117" s="14" t="s">
        <v>299</v>
      </c>
      <c r="C117" s="15" t="s">
        <v>280</v>
      </c>
      <c r="D117" s="19">
        <f t="shared" si="7"/>
        <v>15.8</v>
      </c>
      <c r="E117" s="16" t="str">
        <f t="shared" si="8"/>
        <v>--</v>
      </c>
      <c r="F117" s="16">
        <f t="shared" si="9"/>
        <v>27.6</v>
      </c>
      <c r="G117" s="16" t="str">
        <f t="shared" si="10"/>
        <v>--</v>
      </c>
      <c r="H117" s="24" t="str">
        <f>IFERROR(VLOOKUP(B117,#REF!,8,FALSE),"")</f>
        <v/>
      </c>
      <c r="I117" s="17">
        <v>393000</v>
      </c>
      <c r="J117" s="17">
        <v>177000</v>
      </c>
      <c r="K117" s="24" t="str">
        <f>IFERROR(VLOOKUP(B117,#REF!,11,FALSE),"")</f>
        <v/>
      </c>
      <c r="L117" s="17">
        <v>225000</v>
      </c>
      <c r="M117" s="6" t="s">
        <v>755</v>
      </c>
      <c r="N117" s="18" t="str">
        <f>IFERROR(VLOOKUP(B117,#REF!,13,FALSE),"")</f>
        <v/>
      </c>
      <c r="O117" s="19" t="str">
        <f>IFERROR(VLOOKUP(B117,#REF!,14,FALSE),"")</f>
        <v/>
      </c>
      <c r="P117" s="19" t="str">
        <f>IFERROR(VLOOKUP(B117,#REF!,15,FALSE),"")</f>
        <v/>
      </c>
      <c r="Q117" s="19"/>
      <c r="R117" s="25" t="str">
        <f>IFERROR(VLOOKUP(B117,#REF!,16,FALSE),"")</f>
        <v/>
      </c>
      <c r="S117" s="17">
        <v>0</v>
      </c>
      <c r="T117" s="17">
        <v>225000</v>
      </c>
      <c r="U117" s="17">
        <v>0</v>
      </c>
      <c r="V117" s="17">
        <v>0</v>
      </c>
      <c r="W117" s="20">
        <v>618000</v>
      </c>
      <c r="X117" s="16">
        <v>43.4</v>
      </c>
      <c r="Y117" s="21" t="s">
        <v>40</v>
      </c>
      <c r="Z117" s="20">
        <v>14250</v>
      </c>
      <c r="AA117" s="17" t="s">
        <v>40</v>
      </c>
      <c r="AB117" s="22" t="s">
        <v>41</v>
      </c>
      <c r="AC117" s="23" t="str">
        <f t="shared" si="11"/>
        <v>E</v>
      </c>
      <c r="AD117" s="17">
        <v>0</v>
      </c>
      <c r="AE117" s="17">
        <v>0</v>
      </c>
      <c r="AF117" s="17">
        <v>0</v>
      </c>
      <c r="AG117" s="17">
        <v>0</v>
      </c>
      <c r="AH117" s="15" t="s">
        <v>42</v>
      </c>
    </row>
    <row r="118" spans="1:34">
      <c r="A118" s="13" t="str">
        <f t="shared" si="6"/>
        <v>OverStock</v>
      </c>
      <c r="B118" s="14" t="s">
        <v>477</v>
      </c>
      <c r="C118" s="15" t="s">
        <v>280</v>
      </c>
      <c r="D118" s="19">
        <f t="shared" si="7"/>
        <v>40</v>
      </c>
      <c r="E118" s="16" t="str">
        <f t="shared" si="8"/>
        <v>--</v>
      </c>
      <c r="F118" s="16">
        <f t="shared" si="9"/>
        <v>24</v>
      </c>
      <c r="G118" s="16" t="str">
        <f t="shared" si="10"/>
        <v>--</v>
      </c>
      <c r="H118" s="24" t="str">
        <f>IFERROR(VLOOKUP(B118,#REF!,8,FALSE),"")</f>
        <v/>
      </c>
      <c r="I118" s="17">
        <v>9000</v>
      </c>
      <c r="J118" s="17">
        <v>0</v>
      </c>
      <c r="K118" s="24" t="str">
        <f>IFERROR(VLOOKUP(B118,#REF!,11,FALSE),"")</f>
        <v/>
      </c>
      <c r="L118" s="17">
        <v>15000</v>
      </c>
      <c r="M118" s="6" t="s">
        <v>755</v>
      </c>
      <c r="N118" s="18" t="str">
        <f>IFERROR(VLOOKUP(B118,#REF!,13,FALSE),"")</f>
        <v/>
      </c>
      <c r="O118" s="19" t="str">
        <f>IFERROR(VLOOKUP(B118,#REF!,14,FALSE),"")</f>
        <v/>
      </c>
      <c r="P118" s="19" t="str">
        <f>IFERROR(VLOOKUP(B118,#REF!,15,FALSE),"")</f>
        <v/>
      </c>
      <c r="Q118" s="19"/>
      <c r="R118" s="25" t="str">
        <f>IFERROR(VLOOKUP(B118,#REF!,16,FALSE),"")</f>
        <v/>
      </c>
      <c r="S118" s="17">
        <v>0</v>
      </c>
      <c r="T118" s="17">
        <v>15000</v>
      </c>
      <c r="U118" s="17">
        <v>0</v>
      </c>
      <c r="V118" s="17">
        <v>0</v>
      </c>
      <c r="W118" s="20">
        <v>24000</v>
      </c>
      <c r="X118" s="16">
        <v>64</v>
      </c>
      <c r="Y118" s="21" t="s">
        <v>40</v>
      </c>
      <c r="Z118" s="20">
        <v>375</v>
      </c>
      <c r="AA118" s="17" t="s">
        <v>40</v>
      </c>
      <c r="AB118" s="22" t="s">
        <v>41</v>
      </c>
      <c r="AC118" s="23" t="str">
        <f t="shared" si="11"/>
        <v>E</v>
      </c>
      <c r="AD118" s="17">
        <v>0</v>
      </c>
      <c r="AE118" s="17">
        <v>0</v>
      </c>
      <c r="AF118" s="17">
        <v>0</v>
      </c>
      <c r="AG118" s="17">
        <v>0</v>
      </c>
      <c r="AH118" s="15" t="s">
        <v>42</v>
      </c>
    </row>
    <row r="119" spans="1:34">
      <c r="A119" s="13" t="str">
        <f t="shared" si="6"/>
        <v>OverStock</v>
      </c>
      <c r="B119" s="14" t="s">
        <v>198</v>
      </c>
      <c r="C119" s="15" t="s">
        <v>46</v>
      </c>
      <c r="D119" s="19">
        <f t="shared" si="7"/>
        <v>8.6</v>
      </c>
      <c r="E119" s="16" t="str">
        <f t="shared" si="8"/>
        <v>--</v>
      </c>
      <c r="F119" s="16">
        <f t="shared" si="9"/>
        <v>17.2</v>
      </c>
      <c r="G119" s="16" t="str">
        <f t="shared" si="10"/>
        <v>--</v>
      </c>
      <c r="H119" s="24" t="str">
        <f>IFERROR(VLOOKUP(B119,#REF!,8,FALSE),"")</f>
        <v/>
      </c>
      <c r="I119" s="17">
        <v>10000</v>
      </c>
      <c r="J119" s="17">
        <v>10000</v>
      </c>
      <c r="K119" s="24" t="str">
        <f>IFERROR(VLOOKUP(B119,#REF!,11,FALSE),"")</f>
        <v/>
      </c>
      <c r="L119" s="17">
        <v>5000</v>
      </c>
      <c r="M119" s="6" t="s">
        <v>745</v>
      </c>
      <c r="N119" s="18" t="str">
        <f>IFERROR(VLOOKUP(B119,#REF!,13,FALSE),"")</f>
        <v/>
      </c>
      <c r="O119" s="19" t="str">
        <f>IFERROR(VLOOKUP(B119,#REF!,14,FALSE),"")</f>
        <v/>
      </c>
      <c r="P119" s="19" t="str">
        <f>IFERROR(VLOOKUP(B119,#REF!,15,FALSE),"")</f>
        <v/>
      </c>
      <c r="Q119" s="19"/>
      <c r="R119" s="25" t="str">
        <f>IFERROR(VLOOKUP(B119,#REF!,16,FALSE),"")</f>
        <v/>
      </c>
      <c r="S119" s="17">
        <v>0</v>
      </c>
      <c r="T119" s="17">
        <v>5000</v>
      </c>
      <c r="U119" s="17">
        <v>0</v>
      </c>
      <c r="V119" s="17">
        <v>0</v>
      </c>
      <c r="W119" s="20">
        <v>15000</v>
      </c>
      <c r="X119" s="16">
        <v>25.9</v>
      </c>
      <c r="Y119" s="21" t="s">
        <v>40</v>
      </c>
      <c r="Z119" s="20">
        <v>580</v>
      </c>
      <c r="AA119" s="17" t="s">
        <v>40</v>
      </c>
      <c r="AB119" s="22" t="s">
        <v>41</v>
      </c>
      <c r="AC119" s="23" t="str">
        <f t="shared" si="11"/>
        <v>E</v>
      </c>
      <c r="AD119" s="17">
        <v>0</v>
      </c>
      <c r="AE119" s="17">
        <v>0</v>
      </c>
      <c r="AF119" s="17">
        <v>0</v>
      </c>
      <c r="AG119" s="17">
        <v>0</v>
      </c>
      <c r="AH119" s="15" t="s">
        <v>42</v>
      </c>
    </row>
    <row r="120" spans="1:34">
      <c r="A120" s="13" t="str">
        <f t="shared" si="6"/>
        <v>ZeroZero</v>
      </c>
      <c r="B120" s="14" t="s">
        <v>542</v>
      </c>
      <c r="C120" s="15" t="s">
        <v>269</v>
      </c>
      <c r="D120" s="19" t="str">
        <f t="shared" si="7"/>
        <v>前八週無拉料</v>
      </c>
      <c r="E120" s="16" t="str">
        <f t="shared" si="8"/>
        <v>--</v>
      </c>
      <c r="F120" s="16" t="str">
        <f t="shared" si="9"/>
        <v>--</v>
      </c>
      <c r="G120" s="16" t="str">
        <f t="shared" si="10"/>
        <v>--</v>
      </c>
      <c r="H120" s="24" t="str">
        <f>IFERROR(VLOOKUP(B120,#REF!,8,FALSE),"")</f>
        <v/>
      </c>
      <c r="I120" s="17">
        <v>0</v>
      </c>
      <c r="J120" s="17">
        <v>0</v>
      </c>
      <c r="K120" s="24" t="str">
        <f>IFERROR(VLOOKUP(B120,#REF!,11,FALSE),"")</f>
        <v/>
      </c>
      <c r="L120" s="17">
        <v>99000</v>
      </c>
      <c r="M120" s="6" t="s">
        <v>748</v>
      </c>
      <c r="N120" s="18" t="str">
        <f>IFERROR(VLOOKUP(B120,#REF!,13,FALSE),"")</f>
        <v/>
      </c>
      <c r="O120" s="19" t="str">
        <f>IFERROR(VLOOKUP(B120,#REF!,14,FALSE),"")</f>
        <v/>
      </c>
      <c r="P120" s="19" t="str">
        <f>IFERROR(VLOOKUP(B120,#REF!,15,FALSE),"")</f>
        <v/>
      </c>
      <c r="Q120" s="19"/>
      <c r="R120" s="25" t="str">
        <f>IFERROR(VLOOKUP(B120,#REF!,16,FALSE),"")</f>
        <v/>
      </c>
      <c r="S120" s="17">
        <v>0</v>
      </c>
      <c r="T120" s="17">
        <v>99000</v>
      </c>
      <c r="U120" s="17">
        <v>0</v>
      </c>
      <c r="V120" s="17">
        <v>0</v>
      </c>
      <c r="W120" s="20">
        <v>99000</v>
      </c>
      <c r="X120" s="16" t="s">
        <v>40</v>
      </c>
      <c r="Y120" s="21" t="s">
        <v>40</v>
      </c>
      <c r="Z120" s="20">
        <v>0</v>
      </c>
      <c r="AA120" s="17" t="s">
        <v>40</v>
      </c>
      <c r="AB120" s="22" t="s">
        <v>41</v>
      </c>
      <c r="AC120" s="23" t="str">
        <f t="shared" si="11"/>
        <v>E</v>
      </c>
      <c r="AD120" s="17">
        <v>0</v>
      </c>
      <c r="AE120" s="17">
        <v>0</v>
      </c>
      <c r="AF120" s="17">
        <v>0</v>
      </c>
      <c r="AG120" s="17">
        <v>0</v>
      </c>
      <c r="AH120" s="15" t="s">
        <v>42</v>
      </c>
    </row>
    <row r="121" spans="1:34">
      <c r="A121" s="13" t="str">
        <f t="shared" si="6"/>
        <v>ZeroZero</v>
      </c>
      <c r="B121" s="14" t="s">
        <v>164</v>
      </c>
      <c r="C121" s="15" t="s">
        <v>46</v>
      </c>
      <c r="D121" s="19" t="str">
        <f t="shared" si="7"/>
        <v>前八週無拉料</v>
      </c>
      <c r="E121" s="16" t="str">
        <f t="shared" si="8"/>
        <v>--</v>
      </c>
      <c r="F121" s="16" t="str">
        <f t="shared" si="9"/>
        <v>--</v>
      </c>
      <c r="G121" s="16" t="str">
        <f t="shared" si="10"/>
        <v>--</v>
      </c>
      <c r="H121" s="24" t="str">
        <f>IFERROR(VLOOKUP(B121,#REF!,8,FALSE),"")</f>
        <v/>
      </c>
      <c r="I121" s="17">
        <v>0</v>
      </c>
      <c r="J121" s="17">
        <v>0</v>
      </c>
      <c r="K121" s="24" t="str">
        <f>IFERROR(VLOOKUP(B121,#REF!,11,FALSE),"")</f>
        <v/>
      </c>
      <c r="L121" s="17">
        <v>5000</v>
      </c>
      <c r="M121" s="6" t="s">
        <v>745</v>
      </c>
      <c r="N121" s="18" t="str">
        <f>IFERROR(VLOOKUP(B121,#REF!,13,FALSE),"")</f>
        <v/>
      </c>
      <c r="O121" s="19" t="str">
        <f>IFERROR(VLOOKUP(B121,#REF!,14,FALSE),"")</f>
        <v/>
      </c>
      <c r="P121" s="19" t="str">
        <f>IFERROR(VLOOKUP(B121,#REF!,15,FALSE),"")</f>
        <v/>
      </c>
      <c r="Q121" s="19"/>
      <c r="R121" s="25" t="str">
        <f>IFERROR(VLOOKUP(B121,#REF!,16,FALSE),"")</f>
        <v/>
      </c>
      <c r="S121" s="17">
        <v>0</v>
      </c>
      <c r="T121" s="17">
        <v>5000</v>
      </c>
      <c r="U121" s="17">
        <v>0</v>
      </c>
      <c r="V121" s="17">
        <v>0</v>
      </c>
      <c r="W121" s="20">
        <v>5000</v>
      </c>
      <c r="X121" s="16" t="s">
        <v>40</v>
      </c>
      <c r="Y121" s="21" t="s">
        <v>40</v>
      </c>
      <c r="Z121" s="20">
        <v>0</v>
      </c>
      <c r="AA121" s="17" t="s">
        <v>40</v>
      </c>
      <c r="AB121" s="22" t="s">
        <v>41</v>
      </c>
      <c r="AC121" s="23" t="str">
        <f t="shared" si="11"/>
        <v>E</v>
      </c>
      <c r="AD121" s="17">
        <v>0</v>
      </c>
      <c r="AE121" s="17">
        <v>0</v>
      </c>
      <c r="AF121" s="17">
        <v>0</v>
      </c>
      <c r="AG121" s="17">
        <v>0</v>
      </c>
      <c r="AH121" s="15" t="s">
        <v>42</v>
      </c>
    </row>
    <row r="122" spans="1:34">
      <c r="A122" s="13" t="str">
        <f t="shared" si="6"/>
        <v>ZeroZero</v>
      </c>
      <c r="B122" s="14" t="s">
        <v>165</v>
      </c>
      <c r="C122" s="15" t="s">
        <v>46</v>
      </c>
      <c r="D122" s="19" t="str">
        <f t="shared" si="7"/>
        <v>前八週無拉料</v>
      </c>
      <c r="E122" s="16" t="str">
        <f t="shared" si="8"/>
        <v>--</v>
      </c>
      <c r="F122" s="16" t="str">
        <f t="shared" si="9"/>
        <v>--</v>
      </c>
      <c r="G122" s="16" t="str">
        <f t="shared" si="10"/>
        <v>--</v>
      </c>
      <c r="H122" s="24" t="str">
        <f>IFERROR(VLOOKUP(B122,#REF!,8,FALSE),"")</f>
        <v/>
      </c>
      <c r="I122" s="17">
        <v>0</v>
      </c>
      <c r="J122" s="17">
        <v>0</v>
      </c>
      <c r="K122" s="24" t="str">
        <f>IFERROR(VLOOKUP(B122,#REF!,11,FALSE),"")</f>
        <v/>
      </c>
      <c r="L122" s="17">
        <v>5000</v>
      </c>
      <c r="M122" s="6" t="s">
        <v>745</v>
      </c>
      <c r="N122" s="18" t="str">
        <f>IFERROR(VLOOKUP(B122,#REF!,13,FALSE),"")</f>
        <v/>
      </c>
      <c r="O122" s="19" t="str">
        <f>IFERROR(VLOOKUP(B122,#REF!,14,FALSE),"")</f>
        <v/>
      </c>
      <c r="P122" s="19" t="str">
        <f>IFERROR(VLOOKUP(B122,#REF!,15,FALSE),"")</f>
        <v/>
      </c>
      <c r="Q122" s="19"/>
      <c r="R122" s="25" t="str">
        <f>IFERROR(VLOOKUP(B122,#REF!,16,FALSE),"")</f>
        <v/>
      </c>
      <c r="S122" s="17">
        <v>0</v>
      </c>
      <c r="T122" s="17">
        <v>5000</v>
      </c>
      <c r="U122" s="17">
        <v>0</v>
      </c>
      <c r="V122" s="17">
        <v>0</v>
      </c>
      <c r="W122" s="20">
        <v>5000</v>
      </c>
      <c r="X122" s="16" t="s">
        <v>40</v>
      </c>
      <c r="Y122" s="21" t="s">
        <v>40</v>
      </c>
      <c r="Z122" s="20">
        <v>0</v>
      </c>
      <c r="AA122" s="17" t="s">
        <v>40</v>
      </c>
      <c r="AB122" s="22" t="s">
        <v>41</v>
      </c>
      <c r="AC122" s="23" t="str">
        <f t="shared" si="11"/>
        <v>E</v>
      </c>
      <c r="AD122" s="17">
        <v>0</v>
      </c>
      <c r="AE122" s="17">
        <v>0</v>
      </c>
      <c r="AF122" s="17">
        <v>0</v>
      </c>
      <c r="AG122" s="17">
        <v>0</v>
      </c>
      <c r="AH122" s="15" t="s">
        <v>42</v>
      </c>
    </row>
    <row r="123" spans="1:34">
      <c r="A123" s="13" t="str">
        <f t="shared" si="6"/>
        <v>ZeroZero</v>
      </c>
      <c r="B123" s="14" t="s">
        <v>471</v>
      </c>
      <c r="C123" s="15" t="s">
        <v>280</v>
      </c>
      <c r="D123" s="19" t="str">
        <f t="shared" si="7"/>
        <v>前八週無拉料</v>
      </c>
      <c r="E123" s="16" t="str">
        <f t="shared" si="8"/>
        <v>--</v>
      </c>
      <c r="F123" s="16" t="str">
        <f t="shared" si="9"/>
        <v>--</v>
      </c>
      <c r="G123" s="16" t="str">
        <f t="shared" si="10"/>
        <v>--</v>
      </c>
      <c r="H123" s="24" t="str">
        <f>IFERROR(VLOOKUP(B123,#REF!,8,FALSE),"")</f>
        <v/>
      </c>
      <c r="I123" s="17">
        <v>0</v>
      </c>
      <c r="J123" s="17">
        <v>0</v>
      </c>
      <c r="K123" s="24" t="str">
        <f>IFERROR(VLOOKUP(B123,#REF!,11,FALSE),"")</f>
        <v/>
      </c>
      <c r="L123" s="17">
        <v>50000</v>
      </c>
      <c r="M123" s="6" t="s">
        <v>748</v>
      </c>
      <c r="N123" s="18" t="str">
        <f>IFERROR(VLOOKUP(B123,#REF!,13,FALSE),"")</f>
        <v/>
      </c>
      <c r="O123" s="19" t="str">
        <f>IFERROR(VLOOKUP(B123,#REF!,14,FALSE),"")</f>
        <v/>
      </c>
      <c r="P123" s="19" t="str">
        <f>IFERROR(VLOOKUP(B123,#REF!,15,FALSE),"")</f>
        <v/>
      </c>
      <c r="Q123" s="19"/>
      <c r="R123" s="25" t="str">
        <f>IFERROR(VLOOKUP(B123,#REF!,16,FALSE),"")</f>
        <v/>
      </c>
      <c r="S123" s="17">
        <v>0</v>
      </c>
      <c r="T123" s="17">
        <v>50000</v>
      </c>
      <c r="U123" s="17">
        <v>0</v>
      </c>
      <c r="V123" s="17">
        <v>0</v>
      </c>
      <c r="W123" s="20">
        <v>50000</v>
      </c>
      <c r="X123" s="16" t="s">
        <v>40</v>
      </c>
      <c r="Y123" s="21" t="s">
        <v>40</v>
      </c>
      <c r="Z123" s="20">
        <v>0</v>
      </c>
      <c r="AA123" s="17" t="s">
        <v>40</v>
      </c>
      <c r="AB123" s="22" t="s">
        <v>41</v>
      </c>
      <c r="AC123" s="23" t="str">
        <f t="shared" si="11"/>
        <v>E</v>
      </c>
      <c r="AD123" s="17">
        <v>0</v>
      </c>
      <c r="AE123" s="17">
        <v>0</v>
      </c>
      <c r="AF123" s="17">
        <v>0</v>
      </c>
      <c r="AG123" s="17">
        <v>0</v>
      </c>
      <c r="AH123" s="15" t="s">
        <v>42</v>
      </c>
    </row>
    <row r="124" spans="1:34">
      <c r="A124" s="13" t="str">
        <f t="shared" si="6"/>
        <v>OverStock</v>
      </c>
      <c r="B124" s="14" t="s">
        <v>294</v>
      </c>
      <c r="C124" s="15" t="s">
        <v>280</v>
      </c>
      <c r="D124" s="19">
        <f t="shared" si="7"/>
        <v>8.6</v>
      </c>
      <c r="E124" s="16">
        <f t="shared" si="8"/>
        <v>19.899999999999999</v>
      </c>
      <c r="F124" s="16">
        <f t="shared" si="9"/>
        <v>8.6999999999999993</v>
      </c>
      <c r="G124" s="16">
        <f t="shared" si="10"/>
        <v>20.2</v>
      </c>
      <c r="H124" s="24" t="str">
        <f>IFERROR(VLOOKUP(B124,#REF!,8,FALSE),"")</f>
        <v/>
      </c>
      <c r="I124" s="17">
        <v>216000</v>
      </c>
      <c r="J124" s="17">
        <v>0</v>
      </c>
      <c r="K124" s="24" t="str">
        <f>IFERROR(VLOOKUP(B124,#REF!,11,FALSE),"")</f>
        <v/>
      </c>
      <c r="L124" s="17">
        <v>213000</v>
      </c>
      <c r="M124" s="6" t="s">
        <v>751</v>
      </c>
      <c r="N124" s="18" t="str">
        <f>IFERROR(VLOOKUP(B124,#REF!,13,FALSE),"")</f>
        <v/>
      </c>
      <c r="O124" s="19" t="str">
        <f>IFERROR(VLOOKUP(B124,#REF!,14,FALSE),"")</f>
        <v/>
      </c>
      <c r="P124" s="19" t="str">
        <f>IFERROR(VLOOKUP(B124,#REF!,15,FALSE),"")</f>
        <v/>
      </c>
      <c r="Q124" s="19"/>
      <c r="R124" s="25" t="str">
        <f>IFERROR(VLOOKUP(B124,#REF!,16,FALSE),"")</f>
        <v/>
      </c>
      <c r="S124" s="17">
        <v>0</v>
      </c>
      <c r="T124" s="17">
        <v>213000</v>
      </c>
      <c r="U124" s="17">
        <v>0</v>
      </c>
      <c r="V124" s="17">
        <v>0</v>
      </c>
      <c r="W124" s="20">
        <v>429000</v>
      </c>
      <c r="X124" s="16">
        <v>17.3</v>
      </c>
      <c r="Y124" s="21">
        <v>40.1</v>
      </c>
      <c r="Z124" s="20">
        <v>24750</v>
      </c>
      <c r="AA124" s="17">
        <v>10706</v>
      </c>
      <c r="AB124" s="22">
        <v>0.4</v>
      </c>
      <c r="AC124" s="23">
        <f t="shared" si="11"/>
        <v>50</v>
      </c>
      <c r="AD124" s="17">
        <v>8856</v>
      </c>
      <c r="AE124" s="17">
        <v>31542</v>
      </c>
      <c r="AF124" s="17">
        <v>77443</v>
      </c>
      <c r="AG124" s="17">
        <v>89817</v>
      </c>
      <c r="AH124" s="15" t="s">
        <v>42</v>
      </c>
    </row>
    <row r="125" spans="1:34">
      <c r="A125" s="13" t="str">
        <f t="shared" si="6"/>
        <v>ZeroZero</v>
      </c>
      <c r="B125" s="14" t="s">
        <v>648</v>
      </c>
      <c r="C125" s="15" t="s">
        <v>277</v>
      </c>
      <c r="D125" s="19" t="str">
        <f t="shared" si="7"/>
        <v>前八週無拉料</v>
      </c>
      <c r="E125" s="16" t="str">
        <f t="shared" si="8"/>
        <v>--</v>
      </c>
      <c r="F125" s="16" t="str">
        <f t="shared" si="9"/>
        <v>--</v>
      </c>
      <c r="G125" s="16" t="str">
        <f t="shared" si="10"/>
        <v>--</v>
      </c>
      <c r="H125" s="24" t="str">
        <f>IFERROR(VLOOKUP(B125,#REF!,8,FALSE),"")</f>
        <v/>
      </c>
      <c r="I125" s="17">
        <v>21000</v>
      </c>
      <c r="J125" s="17">
        <v>21000</v>
      </c>
      <c r="K125" s="24" t="str">
        <f>IFERROR(VLOOKUP(B125,#REF!,11,FALSE),"")</f>
        <v/>
      </c>
      <c r="L125" s="17">
        <v>18000</v>
      </c>
      <c r="M125" s="6" t="s">
        <v>752</v>
      </c>
      <c r="N125" s="18" t="str">
        <f>IFERROR(VLOOKUP(B125,#REF!,13,FALSE),"")</f>
        <v/>
      </c>
      <c r="O125" s="19" t="str">
        <f>IFERROR(VLOOKUP(B125,#REF!,14,FALSE),"")</f>
        <v/>
      </c>
      <c r="P125" s="19" t="str">
        <f>IFERROR(VLOOKUP(B125,#REF!,15,FALSE),"")</f>
        <v/>
      </c>
      <c r="Q125" s="19"/>
      <c r="R125" s="25" t="str">
        <f>IFERROR(VLOOKUP(B125,#REF!,16,FALSE),"")</f>
        <v/>
      </c>
      <c r="S125" s="17">
        <v>0</v>
      </c>
      <c r="T125" s="17">
        <v>18000</v>
      </c>
      <c r="U125" s="17">
        <v>0</v>
      </c>
      <c r="V125" s="17">
        <v>0</v>
      </c>
      <c r="W125" s="20">
        <v>39000</v>
      </c>
      <c r="X125" s="16" t="s">
        <v>40</v>
      </c>
      <c r="Y125" s="21" t="s">
        <v>40</v>
      </c>
      <c r="Z125" s="20">
        <v>0</v>
      </c>
      <c r="AA125" s="17" t="s">
        <v>40</v>
      </c>
      <c r="AB125" s="22" t="s">
        <v>41</v>
      </c>
      <c r="AC125" s="23" t="str">
        <f t="shared" si="11"/>
        <v>E</v>
      </c>
      <c r="AD125" s="17">
        <v>0</v>
      </c>
      <c r="AE125" s="17">
        <v>0</v>
      </c>
      <c r="AF125" s="17">
        <v>0</v>
      </c>
      <c r="AG125" s="17">
        <v>0</v>
      </c>
      <c r="AH125" s="15" t="s">
        <v>42</v>
      </c>
    </row>
    <row r="126" spans="1:34">
      <c r="A126" s="13" t="str">
        <f t="shared" si="6"/>
        <v>ZeroZero</v>
      </c>
      <c r="B126" s="14" t="s">
        <v>407</v>
      </c>
      <c r="C126" s="15" t="s">
        <v>280</v>
      </c>
      <c r="D126" s="19" t="str">
        <f t="shared" si="7"/>
        <v>前八週無拉料</v>
      </c>
      <c r="E126" s="16" t="str">
        <f t="shared" si="8"/>
        <v>--</v>
      </c>
      <c r="F126" s="16" t="str">
        <f t="shared" si="9"/>
        <v>--</v>
      </c>
      <c r="G126" s="16" t="str">
        <f t="shared" si="10"/>
        <v>--</v>
      </c>
      <c r="H126" s="24" t="str">
        <f>IFERROR(VLOOKUP(B126,#REF!,8,FALSE),"")</f>
        <v/>
      </c>
      <c r="I126" s="17">
        <v>0</v>
      </c>
      <c r="J126" s="17">
        <v>0</v>
      </c>
      <c r="K126" s="24" t="str">
        <f>IFERROR(VLOOKUP(B126,#REF!,11,FALSE),"")</f>
        <v/>
      </c>
      <c r="L126" s="17">
        <v>12000</v>
      </c>
      <c r="M126" s="6" t="s">
        <v>758</v>
      </c>
      <c r="N126" s="18" t="str">
        <f>IFERROR(VLOOKUP(B126,#REF!,13,FALSE),"")</f>
        <v/>
      </c>
      <c r="O126" s="19" t="str">
        <f>IFERROR(VLOOKUP(B126,#REF!,14,FALSE),"")</f>
        <v/>
      </c>
      <c r="P126" s="19" t="str">
        <f>IFERROR(VLOOKUP(B126,#REF!,15,FALSE),"")</f>
        <v/>
      </c>
      <c r="Q126" s="19"/>
      <c r="R126" s="25" t="str">
        <f>IFERROR(VLOOKUP(B126,#REF!,16,FALSE),"")</f>
        <v/>
      </c>
      <c r="S126" s="17">
        <v>0</v>
      </c>
      <c r="T126" s="17">
        <v>12000</v>
      </c>
      <c r="U126" s="17">
        <v>0</v>
      </c>
      <c r="V126" s="17">
        <v>0</v>
      </c>
      <c r="W126" s="20">
        <v>12000</v>
      </c>
      <c r="X126" s="16" t="s">
        <v>40</v>
      </c>
      <c r="Y126" s="21" t="s">
        <v>40</v>
      </c>
      <c r="Z126" s="20">
        <v>0</v>
      </c>
      <c r="AA126" s="17" t="s">
        <v>40</v>
      </c>
      <c r="AB126" s="22" t="s">
        <v>41</v>
      </c>
      <c r="AC126" s="23" t="str">
        <f t="shared" si="11"/>
        <v>E</v>
      </c>
      <c r="AD126" s="17">
        <v>0</v>
      </c>
      <c r="AE126" s="17">
        <v>0</v>
      </c>
      <c r="AF126" s="17">
        <v>0</v>
      </c>
      <c r="AG126" s="17">
        <v>0</v>
      </c>
      <c r="AH126" s="15" t="s">
        <v>42</v>
      </c>
    </row>
    <row r="127" spans="1:34">
      <c r="A127" s="13" t="str">
        <f t="shared" si="6"/>
        <v>OverStock</v>
      </c>
      <c r="B127" s="14" t="s">
        <v>511</v>
      </c>
      <c r="C127" s="15" t="s">
        <v>280</v>
      </c>
      <c r="D127" s="19">
        <f t="shared" si="7"/>
        <v>61.7</v>
      </c>
      <c r="E127" s="16" t="str">
        <f t="shared" si="8"/>
        <v>--</v>
      </c>
      <c r="F127" s="16">
        <f t="shared" si="9"/>
        <v>342.9</v>
      </c>
      <c r="G127" s="16" t="str">
        <f t="shared" si="10"/>
        <v>--</v>
      </c>
      <c r="H127" s="24" t="str">
        <f>IFERROR(VLOOKUP(B127,#REF!,8,FALSE),"")</f>
        <v/>
      </c>
      <c r="I127" s="17">
        <v>900000</v>
      </c>
      <c r="J127" s="17">
        <v>0</v>
      </c>
      <c r="K127" s="24" t="str">
        <f>IFERROR(VLOOKUP(B127,#REF!,11,FALSE),"")</f>
        <v/>
      </c>
      <c r="L127" s="17">
        <v>162000</v>
      </c>
      <c r="M127" s="6" t="s">
        <v>755</v>
      </c>
      <c r="N127" s="18" t="str">
        <f>IFERROR(VLOOKUP(B127,#REF!,13,FALSE),"")</f>
        <v/>
      </c>
      <c r="O127" s="19" t="str">
        <f>IFERROR(VLOOKUP(B127,#REF!,14,FALSE),"")</f>
        <v/>
      </c>
      <c r="P127" s="19" t="str">
        <f>IFERROR(VLOOKUP(B127,#REF!,15,FALSE),"")</f>
        <v/>
      </c>
      <c r="Q127" s="19"/>
      <c r="R127" s="25" t="str">
        <f>IFERROR(VLOOKUP(B127,#REF!,16,FALSE),"")</f>
        <v/>
      </c>
      <c r="S127" s="17">
        <v>0</v>
      </c>
      <c r="T127" s="17">
        <v>162000</v>
      </c>
      <c r="U127" s="17">
        <v>0</v>
      </c>
      <c r="V127" s="17">
        <v>0</v>
      </c>
      <c r="W127" s="20">
        <v>1062000</v>
      </c>
      <c r="X127" s="16">
        <v>404.6</v>
      </c>
      <c r="Y127" s="21" t="s">
        <v>40</v>
      </c>
      <c r="Z127" s="20">
        <v>2625</v>
      </c>
      <c r="AA127" s="17" t="s">
        <v>40</v>
      </c>
      <c r="AB127" s="22" t="s">
        <v>41</v>
      </c>
      <c r="AC127" s="23" t="str">
        <f t="shared" si="11"/>
        <v>E</v>
      </c>
      <c r="AD127" s="17">
        <v>0</v>
      </c>
      <c r="AE127" s="17">
        <v>0</v>
      </c>
      <c r="AF127" s="17">
        <v>0</v>
      </c>
      <c r="AG127" s="17">
        <v>0</v>
      </c>
      <c r="AH127" s="15" t="s">
        <v>42</v>
      </c>
    </row>
    <row r="128" spans="1:34">
      <c r="A128" s="13" t="str">
        <f t="shared" si="6"/>
        <v>OverStock</v>
      </c>
      <c r="B128" s="14" t="s">
        <v>460</v>
      </c>
      <c r="C128" s="15" t="s">
        <v>280</v>
      </c>
      <c r="D128" s="19">
        <f t="shared" si="7"/>
        <v>26</v>
      </c>
      <c r="E128" s="16">
        <f t="shared" si="8"/>
        <v>17.8</v>
      </c>
      <c r="F128" s="16">
        <f t="shared" si="9"/>
        <v>58</v>
      </c>
      <c r="G128" s="16">
        <f t="shared" si="10"/>
        <v>39.6</v>
      </c>
      <c r="H128" s="24" t="str">
        <f>IFERROR(VLOOKUP(B128,#REF!,8,FALSE),"")</f>
        <v/>
      </c>
      <c r="I128" s="17">
        <v>290000</v>
      </c>
      <c r="J128" s="17">
        <v>25000</v>
      </c>
      <c r="K128" s="24" t="str">
        <f>IFERROR(VLOOKUP(B128,#REF!,11,FALSE),"")</f>
        <v/>
      </c>
      <c r="L128" s="17">
        <v>130000</v>
      </c>
      <c r="M128" s="6" t="s">
        <v>748</v>
      </c>
      <c r="N128" s="18" t="str">
        <f>IFERROR(VLOOKUP(B128,#REF!,13,FALSE),"")</f>
        <v/>
      </c>
      <c r="O128" s="19" t="str">
        <f>IFERROR(VLOOKUP(B128,#REF!,14,FALSE),"")</f>
        <v/>
      </c>
      <c r="P128" s="19" t="str">
        <f>IFERROR(VLOOKUP(B128,#REF!,15,FALSE),"")</f>
        <v/>
      </c>
      <c r="Q128" s="19"/>
      <c r="R128" s="25" t="str">
        <f>IFERROR(VLOOKUP(B128,#REF!,16,FALSE),"")</f>
        <v/>
      </c>
      <c r="S128" s="17">
        <v>0</v>
      </c>
      <c r="T128" s="17">
        <v>95000</v>
      </c>
      <c r="U128" s="17">
        <v>35000</v>
      </c>
      <c r="V128" s="17">
        <v>0</v>
      </c>
      <c r="W128" s="20">
        <v>420000</v>
      </c>
      <c r="X128" s="16">
        <v>84</v>
      </c>
      <c r="Y128" s="21">
        <v>57.4</v>
      </c>
      <c r="Z128" s="20">
        <v>5000</v>
      </c>
      <c r="AA128" s="17">
        <v>7322</v>
      </c>
      <c r="AB128" s="22">
        <v>1.5</v>
      </c>
      <c r="AC128" s="23">
        <f t="shared" si="11"/>
        <v>100</v>
      </c>
      <c r="AD128" s="17">
        <v>11200</v>
      </c>
      <c r="AE128" s="17">
        <v>28600</v>
      </c>
      <c r="AF128" s="17">
        <v>27800</v>
      </c>
      <c r="AG128" s="17">
        <v>25900</v>
      </c>
      <c r="AH128" s="15" t="s">
        <v>42</v>
      </c>
    </row>
    <row r="129" spans="1:34">
      <c r="A129" s="13" t="str">
        <f t="shared" si="6"/>
        <v>OverStock</v>
      </c>
      <c r="B129" s="14" t="s">
        <v>422</v>
      </c>
      <c r="C129" s="15" t="s">
        <v>280</v>
      </c>
      <c r="D129" s="19">
        <f t="shared" si="7"/>
        <v>72</v>
      </c>
      <c r="E129" s="16" t="str">
        <f t="shared" si="8"/>
        <v>--</v>
      </c>
      <c r="F129" s="16">
        <f t="shared" si="9"/>
        <v>560</v>
      </c>
      <c r="G129" s="16" t="str">
        <f t="shared" si="10"/>
        <v>--</v>
      </c>
      <c r="H129" s="24" t="str">
        <f>IFERROR(VLOOKUP(B129,#REF!,8,FALSE),"")</f>
        <v/>
      </c>
      <c r="I129" s="17">
        <v>630000</v>
      </c>
      <c r="J129" s="17">
        <v>630000</v>
      </c>
      <c r="K129" s="24" t="str">
        <f>IFERROR(VLOOKUP(B129,#REF!,11,FALSE),"")</f>
        <v/>
      </c>
      <c r="L129" s="17">
        <v>81000</v>
      </c>
      <c r="M129" s="6" t="s">
        <v>751</v>
      </c>
      <c r="N129" s="18" t="str">
        <f>IFERROR(VLOOKUP(B129,#REF!,13,FALSE),"")</f>
        <v/>
      </c>
      <c r="O129" s="19" t="str">
        <f>IFERROR(VLOOKUP(B129,#REF!,14,FALSE),"")</f>
        <v/>
      </c>
      <c r="P129" s="19" t="str">
        <f>IFERROR(VLOOKUP(B129,#REF!,15,FALSE),"")</f>
        <v/>
      </c>
      <c r="Q129" s="19"/>
      <c r="R129" s="25" t="str">
        <f>IFERROR(VLOOKUP(B129,#REF!,16,FALSE),"")</f>
        <v/>
      </c>
      <c r="S129" s="17">
        <v>0</v>
      </c>
      <c r="T129" s="17">
        <v>81000</v>
      </c>
      <c r="U129" s="17">
        <v>0</v>
      </c>
      <c r="V129" s="17">
        <v>0</v>
      </c>
      <c r="W129" s="20">
        <v>711000</v>
      </c>
      <c r="X129" s="16">
        <v>632</v>
      </c>
      <c r="Y129" s="21" t="s">
        <v>40</v>
      </c>
      <c r="Z129" s="20">
        <v>1125</v>
      </c>
      <c r="AA129" s="17" t="s">
        <v>40</v>
      </c>
      <c r="AB129" s="22" t="s">
        <v>41</v>
      </c>
      <c r="AC129" s="23" t="str">
        <f t="shared" si="11"/>
        <v>E</v>
      </c>
      <c r="AD129" s="17">
        <v>0</v>
      </c>
      <c r="AE129" s="17">
        <v>0</v>
      </c>
      <c r="AF129" s="17">
        <v>0</v>
      </c>
      <c r="AG129" s="17">
        <v>0</v>
      </c>
      <c r="AH129" s="15" t="s">
        <v>42</v>
      </c>
    </row>
    <row r="130" spans="1:34">
      <c r="A130" s="13" t="str">
        <f t="shared" si="6"/>
        <v>OverStock</v>
      </c>
      <c r="B130" s="14" t="s">
        <v>399</v>
      </c>
      <c r="C130" s="15" t="s">
        <v>280</v>
      </c>
      <c r="D130" s="19">
        <f t="shared" si="7"/>
        <v>52</v>
      </c>
      <c r="E130" s="16" t="str">
        <f t="shared" si="8"/>
        <v>--</v>
      </c>
      <c r="F130" s="16">
        <f t="shared" si="9"/>
        <v>24</v>
      </c>
      <c r="G130" s="16" t="str">
        <f t="shared" si="10"/>
        <v>--</v>
      </c>
      <c r="H130" s="24" t="str">
        <f>IFERROR(VLOOKUP(B130,#REF!,8,FALSE),"")</f>
        <v/>
      </c>
      <c r="I130" s="17">
        <v>18000</v>
      </c>
      <c r="J130" s="17">
        <v>9000</v>
      </c>
      <c r="K130" s="24" t="str">
        <f>IFERROR(VLOOKUP(B130,#REF!,11,FALSE),"")</f>
        <v/>
      </c>
      <c r="L130" s="17">
        <v>39000</v>
      </c>
      <c r="M130" s="6" t="s">
        <v>758</v>
      </c>
      <c r="N130" s="18" t="str">
        <f>IFERROR(VLOOKUP(B130,#REF!,13,FALSE),"")</f>
        <v/>
      </c>
      <c r="O130" s="19" t="str">
        <f>IFERROR(VLOOKUP(B130,#REF!,14,FALSE),"")</f>
        <v/>
      </c>
      <c r="P130" s="19" t="str">
        <f>IFERROR(VLOOKUP(B130,#REF!,15,FALSE),"")</f>
        <v/>
      </c>
      <c r="Q130" s="19"/>
      <c r="R130" s="25" t="str">
        <f>IFERROR(VLOOKUP(B130,#REF!,16,FALSE),"")</f>
        <v/>
      </c>
      <c r="S130" s="17">
        <v>0</v>
      </c>
      <c r="T130" s="17">
        <v>39000</v>
      </c>
      <c r="U130" s="17">
        <v>0</v>
      </c>
      <c r="V130" s="17">
        <v>0</v>
      </c>
      <c r="W130" s="20">
        <v>57000</v>
      </c>
      <c r="X130" s="16">
        <v>76</v>
      </c>
      <c r="Y130" s="21" t="s">
        <v>40</v>
      </c>
      <c r="Z130" s="20">
        <v>750</v>
      </c>
      <c r="AA130" s="17">
        <v>0</v>
      </c>
      <c r="AB130" s="22" t="s">
        <v>41</v>
      </c>
      <c r="AC130" s="23" t="str">
        <f t="shared" si="11"/>
        <v>E</v>
      </c>
      <c r="AD130" s="17">
        <v>0</v>
      </c>
      <c r="AE130" s="17">
        <v>0</v>
      </c>
      <c r="AF130" s="17">
        <v>0</v>
      </c>
      <c r="AG130" s="17">
        <v>0</v>
      </c>
      <c r="AH130" s="15" t="s">
        <v>42</v>
      </c>
    </row>
    <row r="131" spans="1:34">
      <c r="A131" s="13" t="str">
        <f t="shared" si="6"/>
        <v>OverStock</v>
      </c>
      <c r="B131" s="14" t="s">
        <v>287</v>
      </c>
      <c r="C131" s="15" t="s">
        <v>280</v>
      </c>
      <c r="D131" s="19">
        <f t="shared" si="7"/>
        <v>53.3</v>
      </c>
      <c r="E131" s="16">
        <f t="shared" si="8"/>
        <v>81.8</v>
      </c>
      <c r="F131" s="16">
        <f t="shared" si="9"/>
        <v>16</v>
      </c>
      <c r="G131" s="16">
        <f t="shared" si="10"/>
        <v>24.5</v>
      </c>
      <c r="H131" s="24" t="str">
        <f>IFERROR(VLOOKUP(B131,#REF!,8,FALSE),"")</f>
        <v/>
      </c>
      <c r="I131" s="17">
        <v>36000</v>
      </c>
      <c r="J131" s="17">
        <v>0</v>
      </c>
      <c r="K131" s="24" t="str">
        <f>IFERROR(VLOOKUP(B131,#REF!,11,FALSE),"")</f>
        <v/>
      </c>
      <c r="L131" s="17">
        <v>120000</v>
      </c>
      <c r="M131" s="6" t="s">
        <v>748</v>
      </c>
      <c r="N131" s="18" t="str">
        <f>IFERROR(VLOOKUP(B131,#REF!,13,FALSE),"")</f>
        <v/>
      </c>
      <c r="O131" s="19" t="str">
        <f>IFERROR(VLOOKUP(B131,#REF!,14,FALSE),"")</f>
        <v/>
      </c>
      <c r="P131" s="19" t="str">
        <f>IFERROR(VLOOKUP(B131,#REF!,15,FALSE),"")</f>
        <v/>
      </c>
      <c r="Q131" s="19"/>
      <c r="R131" s="25" t="str">
        <f>IFERROR(VLOOKUP(B131,#REF!,16,FALSE),"")</f>
        <v/>
      </c>
      <c r="S131" s="17">
        <v>0</v>
      </c>
      <c r="T131" s="17">
        <v>99000</v>
      </c>
      <c r="U131" s="17">
        <v>21000</v>
      </c>
      <c r="V131" s="17">
        <v>0</v>
      </c>
      <c r="W131" s="20">
        <v>156000</v>
      </c>
      <c r="X131" s="16">
        <v>69.3</v>
      </c>
      <c r="Y131" s="21">
        <v>106.3</v>
      </c>
      <c r="Z131" s="20">
        <v>2250</v>
      </c>
      <c r="AA131" s="17">
        <v>1467</v>
      </c>
      <c r="AB131" s="22">
        <v>0.7</v>
      </c>
      <c r="AC131" s="23">
        <f t="shared" si="11"/>
        <v>100</v>
      </c>
      <c r="AD131" s="17">
        <v>0</v>
      </c>
      <c r="AE131" s="17">
        <v>4399</v>
      </c>
      <c r="AF131" s="17">
        <v>8800</v>
      </c>
      <c r="AG131" s="17">
        <v>11600</v>
      </c>
      <c r="AH131" s="15" t="s">
        <v>42</v>
      </c>
    </row>
    <row r="132" spans="1:34">
      <c r="A132" s="13" t="str">
        <f t="shared" ref="A132:A195" si="12">IF(OR(Z132=0,LEN(Z132)=0)*OR(AA132=0,LEN(AA132)=0),IF(W132&gt;0,"ZeroZero","None"),IF(IF(LEN(X132)=0,0,X132)&gt;16,"OverStock",IF(Z132=0,"FCST","Normal")))</f>
        <v>OverStock</v>
      </c>
      <c r="B132" s="14" t="s">
        <v>322</v>
      </c>
      <c r="C132" s="15" t="s">
        <v>280</v>
      </c>
      <c r="D132" s="19">
        <f t="shared" ref="D132:D195" si="13">IF(Z132=0,"前八週無拉料",ROUND(L132/Z132,1))</f>
        <v>19.2</v>
      </c>
      <c r="E132" s="16" t="str">
        <f t="shared" ref="E132:E195" si="14">IF(OR(AA132=0,LEN(AA132)=0),"--",ROUND(L132/AA132,1))</f>
        <v>--</v>
      </c>
      <c r="F132" s="16">
        <f t="shared" ref="F132:F195" si="15">IF(Z132=0,"--",ROUND(I132/Z132,1))</f>
        <v>20.8</v>
      </c>
      <c r="G132" s="16" t="str">
        <f t="shared" ref="G132:G195" si="16">IF(OR(AA132=0,LEN(AA132)=0),"--",ROUND(I132/AA132,1))</f>
        <v>--</v>
      </c>
      <c r="H132" s="24" t="str">
        <f>IFERROR(VLOOKUP(B132,#REF!,8,FALSE),"")</f>
        <v/>
      </c>
      <c r="I132" s="17">
        <v>39000</v>
      </c>
      <c r="J132" s="17">
        <v>27000</v>
      </c>
      <c r="K132" s="24" t="str">
        <f>IFERROR(VLOOKUP(B132,#REF!,11,FALSE),"")</f>
        <v/>
      </c>
      <c r="L132" s="17">
        <v>36000</v>
      </c>
      <c r="M132" s="6" t="s">
        <v>751</v>
      </c>
      <c r="N132" s="18" t="str">
        <f>IFERROR(VLOOKUP(B132,#REF!,13,FALSE),"")</f>
        <v/>
      </c>
      <c r="O132" s="19" t="str">
        <f>IFERROR(VLOOKUP(B132,#REF!,14,FALSE),"")</f>
        <v/>
      </c>
      <c r="P132" s="19" t="str">
        <f>IFERROR(VLOOKUP(B132,#REF!,15,FALSE),"")</f>
        <v/>
      </c>
      <c r="Q132" s="19"/>
      <c r="R132" s="25" t="str">
        <f>IFERROR(VLOOKUP(B132,#REF!,16,FALSE),"")</f>
        <v/>
      </c>
      <c r="S132" s="17">
        <v>0</v>
      </c>
      <c r="T132" s="17">
        <v>30000</v>
      </c>
      <c r="U132" s="17">
        <v>6000</v>
      </c>
      <c r="V132" s="17">
        <v>0</v>
      </c>
      <c r="W132" s="20">
        <v>75000</v>
      </c>
      <c r="X132" s="16">
        <v>40</v>
      </c>
      <c r="Y132" s="21" t="s">
        <v>40</v>
      </c>
      <c r="Z132" s="20">
        <v>1875</v>
      </c>
      <c r="AA132" s="17" t="s">
        <v>40</v>
      </c>
      <c r="AB132" s="22" t="s">
        <v>41</v>
      </c>
      <c r="AC132" s="23" t="str">
        <f t="shared" ref="AC132:AC195" si="17">IF($AB132="E","E",IF($AB132="F","F",IF($AB132&lt;0.5,50,IF($AB132&lt;2,100,150))))</f>
        <v>E</v>
      </c>
      <c r="AD132" s="17">
        <v>0</v>
      </c>
      <c r="AE132" s="17">
        <v>0</v>
      </c>
      <c r="AF132" s="17">
        <v>0</v>
      </c>
      <c r="AG132" s="17">
        <v>0</v>
      </c>
      <c r="AH132" s="15" t="s">
        <v>42</v>
      </c>
    </row>
    <row r="133" spans="1:34">
      <c r="A133" s="13" t="str">
        <f t="shared" si="12"/>
        <v>ZeroZero</v>
      </c>
      <c r="B133" s="14" t="s">
        <v>642</v>
      </c>
      <c r="C133" s="15" t="s">
        <v>277</v>
      </c>
      <c r="D133" s="19" t="str">
        <f t="shared" si="13"/>
        <v>前八週無拉料</v>
      </c>
      <c r="E133" s="16" t="str">
        <f t="shared" si="14"/>
        <v>--</v>
      </c>
      <c r="F133" s="16" t="str">
        <f t="shared" si="15"/>
        <v>--</v>
      </c>
      <c r="G133" s="16" t="str">
        <f t="shared" si="16"/>
        <v>--</v>
      </c>
      <c r="H133" s="24" t="str">
        <f>IFERROR(VLOOKUP(B133,#REF!,8,FALSE),"")</f>
        <v/>
      </c>
      <c r="I133" s="17">
        <v>0</v>
      </c>
      <c r="J133" s="17">
        <v>0</v>
      </c>
      <c r="K133" s="24" t="str">
        <f>IFERROR(VLOOKUP(B133,#REF!,11,FALSE),"")</f>
        <v/>
      </c>
      <c r="L133" s="17">
        <v>10000</v>
      </c>
      <c r="M133" s="6" t="s">
        <v>748</v>
      </c>
      <c r="N133" s="18" t="str">
        <f>IFERROR(VLOOKUP(B133,#REF!,13,FALSE),"")</f>
        <v/>
      </c>
      <c r="O133" s="19" t="str">
        <f>IFERROR(VLOOKUP(B133,#REF!,14,FALSE),"")</f>
        <v/>
      </c>
      <c r="P133" s="19" t="str">
        <f>IFERROR(VLOOKUP(B133,#REF!,15,FALSE),"")</f>
        <v/>
      </c>
      <c r="Q133" s="19"/>
      <c r="R133" s="25" t="str">
        <f>IFERROR(VLOOKUP(B133,#REF!,16,FALSE),"")</f>
        <v/>
      </c>
      <c r="S133" s="17">
        <v>0</v>
      </c>
      <c r="T133" s="17">
        <v>10000</v>
      </c>
      <c r="U133" s="17">
        <v>0</v>
      </c>
      <c r="V133" s="17">
        <v>0</v>
      </c>
      <c r="W133" s="20">
        <v>10000</v>
      </c>
      <c r="X133" s="16" t="s">
        <v>40</v>
      </c>
      <c r="Y133" s="21" t="s">
        <v>40</v>
      </c>
      <c r="Z133" s="20">
        <v>0</v>
      </c>
      <c r="AA133" s="17" t="s">
        <v>40</v>
      </c>
      <c r="AB133" s="22" t="s">
        <v>41</v>
      </c>
      <c r="AC133" s="23" t="str">
        <f t="shared" si="17"/>
        <v>E</v>
      </c>
      <c r="AD133" s="17">
        <v>0</v>
      </c>
      <c r="AE133" s="17">
        <v>0</v>
      </c>
      <c r="AF133" s="17">
        <v>0</v>
      </c>
      <c r="AG133" s="17">
        <v>0</v>
      </c>
      <c r="AH133" s="15" t="s">
        <v>42</v>
      </c>
    </row>
    <row r="134" spans="1:34">
      <c r="A134" s="13" t="str">
        <f t="shared" si="12"/>
        <v>OverStock</v>
      </c>
      <c r="B134" s="14" t="s">
        <v>478</v>
      </c>
      <c r="C134" s="15" t="s">
        <v>280</v>
      </c>
      <c r="D134" s="19">
        <f t="shared" si="13"/>
        <v>24</v>
      </c>
      <c r="E134" s="16" t="str">
        <f t="shared" si="14"/>
        <v>--</v>
      </c>
      <c r="F134" s="16">
        <f t="shared" si="15"/>
        <v>16</v>
      </c>
      <c r="G134" s="16" t="str">
        <f t="shared" si="16"/>
        <v>--</v>
      </c>
      <c r="H134" s="24" t="str">
        <f>IFERROR(VLOOKUP(B134,#REF!,8,FALSE),"")</f>
        <v/>
      </c>
      <c r="I134" s="17">
        <v>6000</v>
      </c>
      <c r="J134" s="17">
        <v>0</v>
      </c>
      <c r="K134" s="24" t="str">
        <f>IFERROR(VLOOKUP(B134,#REF!,11,FALSE),"")</f>
        <v/>
      </c>
      <c r="L134" s="17">
        <v>9000</v>
      </c>
      <c r="M134" s="6" t="s">
        <v>752</v>
      </c>
      <c r="N134" s="18" t="str">
        <f>IFERROR(VLOOKUP(B134,#REF!,13,FALSE),"")</f>
        <v/>
      </c>
      <c r="O134" s="19" t="str">
        <f>IFERROR(VLOOKUP(B134,#REF!,14,FALSE),"")</f>
        <v/>
      </c>
      <c r="P134" s="19" t="str">
        <f>IFERROR(VLOOKUP(B134,#REF!,15,FALSE),"")</f>
        <v/>
      </c>
      <c r="Q134" s="19"/>
      <c r="R134" s="25" t="str">
        <f>IFERROR(VLOOKUP(B134,#REF!,16,FALSE),"")</f>
        <v/>
      </c>
      <c r="S134" s="17">
        <v>0</v>
      </c>
      <c r="T134" s="17">
        <v>9000</v>
      </c>
      <c r="U134" s="17">
        <v>0</v>
      </c>
      <c r="V134" s="17">
        <v>0</v>
      </c>
      <c r="W134" s="20">
        <v>15000</v>
      </c>
      <c r="X134" s="16">
        <v>40</v>
      </c>
      <c r="Y134" s="21" t="s">
        <v>40</v>
      </c>
      <c r="Z134" s="20">
        <v>375</v>
      </c>
      <c r="AA134" s="17" t="s">
        <v>40</v>
      </c>
      <c r="AB134" s="22" t="s">
        <v>41</v>
      </c>
      <c r="AC134" s="23" t="str">
        <f t="shared" si="17"/>
        <v>E</v>
      </c>
      <c r="AD134" s="17">
        <v>0</v>
      </c>
      <c r="AE134" s="17">
        <v>0</v>
      </c>
      <c r="AF134" s="17">
        <v>0</v>
      </c>
      <c r="AG134" s="17">
        <v>0</v>
      </c>
      <c r="AH134" s="15" t="s">
        <v>42</v>
      </c>
    </row>
    <row r="135" spans="1:34">
      <c r="A135" s="13" t="str">
        <f t="shared" si="12"/>
        <v>OverStock</v>
      </c>
      <c r="B135" s="14" t="s">
        <v>326</v>
      </c>
      <c r="C135" s="15" t="s">
        <v>280</v>
      </c>
      <c r="D135" s="19">
        <f t="shared" si="13"/>
        <v>11</v>
      </c>
      <c r="E135" s="16">
        <f t="shared" si="14"/>
        <v>45</v>
      </c>
      <c r="F135" s="16">
        <f t="shared" si="15"/>
        <v>10.199999999999999</v>
      </c>
      <c r="G135" s="16">
        <f t="shared" si="16"/>
        <v>41.7</v>
      </c>
      <c r="H135" s="24" t="str">
        <f>IFERROR(VLOOKUP(B135,#REF!,8,FALSE),"")</f>
        <v/>
      </c>
      <c r="I135" s="17">
        <v>27799</v>
      </c>
      <c r="J135" s="17">
        <v>27000</v>
      </c>
      <c r="K135" s="24" t="str">
        <f>IFERROR(VLOOKUP(B135,#REF!,11,FALSE),"")</f>
        <v/>
      </c>
      <c r="L135" s="17">
        <v>30000</v>
      </c>
      <c r="M135" s="6" t="s">
        <v>759</v>
      </c>
      <c r="N135" s="18" t="str">
        <f>IFERROR(VLOOKUP(B135,#REF!,13,FALSE),"")</f>
        <v/>
      </c>
      <c r="O135" s="19" t="str">
        <f>IFERROR(VLOOKUP(B135,#REF!,14,FALSE),"")</f>
        <v/>
      </c>
      <c r="P135" s="19" t="str">
        <f>IFERROR(VLOOKUP(B135,#REF!,15,FALSE),"")</f>
        <v/>
      </c>
      <c r="Q135" s="19"/>
      <c r="R135" s="25" t="str">
        <f>IFERROR(VLOOKUP(B135,#REF!,16,FALSE),"")</f>
        <v/>
      </c>
      <c r="S135" s="17">
        <v>0</v>
      </c>
      <c r="T135" s="17">
        <v>30000</v>
      </c>
      <c r="U135" s="17">
        <v>0</v>
      </c>
      <c r="V135" s="17">
        <v>0</v>
      </c>
      <c r="W135" s="20">
        <v>57799</v>
      </c>
      <c r="X135" s="16">
        <v>21.2</v>
      </c>
      <c r="Y135" s="21">
        <v>86.7</v>
      </c>
      <c r="Z135" s="20">
        <v>2725</v>
      </c>
      <c r="AA135" s="17">
        <v>667</v>
      </c>
      <c r="AB135" s="22">
        <v>0.2</v>
      </c>
      <c r="AC135" s="23">
        <f t="shared" si="17"/>
        <v>50</v>
      </c>
      <c r="AD135" s="17">
        <v>898</v>
      </c>
      <c r="AE135" s="17">
        <v>6000</v>
      </c>
      <c r="AF135" s="17">
        <v>0</v>
      </c>
      <c r="AG135" s="17">
        <v>0</v>
      </c>
      <c r="AH135" s="15" t="s">
        <v>42</v>
      </c>
    </row>
    <row r="136" spans="1:34">
      <c r="A136" s="13" t="str">
        <f t="shared" si="12"/>
        <v>OverStock</v>
      </c>
      <c r="B136" s="14" t="s">
        <v>173</v>
      </c>
      <c r="C136" s="15" t="s">
        <v>46</v>
      </c>
      <c r="D136" s="19">
        <f t="shared" si="13"/>
        <v>32</v>
      </c>
      <c r="E136" s="16" t="str">
        <f t="shared" si="14"/>
        <v>--</v>
      </c>
      <c r="F136" s="16">
        <f t="shared" si="15"/>
        <v>64</v>
      </c>
      <c r="G136" s="16" t="str">
        <f t="shared" si="16"/>
        <v>--</v>
      </c>
      <c r="H136" s="24" t="str">
        <f>IFERROR(VLOOKUP(B136,#REF!,8,FALSE),"")</f>
        <v/>
      </c>
      <c r="I136" s="17">
        <v>24000</v>
      </c>
      <c r="J136" s="17">
        <v>12000</v>
      </c>
      <c r="K136" s="24" t="str">
        <f>IFERROR(VLOOKUP(B136,#REF!,11,FALSE),"")</f>
        <v/>
      </c>
      <c r="L136" s="17">
        <v>12000</v>
      </c>
      <c r="M136" s="6" t="s">
        <v>745</v>
      </c>
      <c r="N136" s="18" t="str">
        <f>IFERROR(VLOOKUP(B136,#REF!,13,FALSE),"")</f>
        <v/>
      </c>
      <c r="O136" s="19" t="str">
        <f>IFERROR(VLOOKUP(B136,#REF!,14,FALSE),"")</f>
        <v/>
      </c>
      <c r="P136" s="19" t="str">
        <f>IFERROR(VLOOKUP(B136,#REF!,15,FALSE),"")</f>
        <v/>
      </c>
      <c r="Q136" s="19"/>
      <c r="R136" s="25" t="str">
        <f>IFERROR(VLOOKUP(B136,#REF!,16,FALSE),"")</f>
        <v/>
      </c>
      <c r="S136" s="17">
        <v>0</v>
      </c>
      <c r="T136" s="17">
        <v>12000</v>
      </c>
      <c r="U136" s="17">
        <v>0</v>
      </c>
      <c r="V136" s="17">
        <v>0</v>
      </c>
      <c r="W136" s="20">
        <v>36000</v>
      </c>
      <c r="X136" s="16">
        <v>96</v>
      </c>
      <c r="Y136" s="21" t="s">
        <v>40</v>
      </c>
      <c r="Z136" s="20">
        <v>375</v>
      </c>
      <c r="AA136" s="17">
        <v>0</v>
      </c>
      <c r="AB136" s="22" t="s">
        <v>41</v>
      </c>
      <c r="AC136" s="23" t="str">
        <f t="shared" si="17"/>
        <v>E</v>
      </c>
      <c r="AD136" s="17">
        <v>0</v>
      </c>
      <c r="AE136" s="17">
        <v>0</v>
      </c>
      <c r="AF136" s="17">
        <v>9000</v>
      </c>
      <c r="AG136" s="17">
        <v>9000</v>
      </c>
      <c r="AH136" s="15" t="s">
        <v>42</v>
      </c>
    </row>
    <row r="137" spans="1:34">
      <c r="A137" s="13" t="str">
        <f t="shared" si="12"/>
        <v>OverStock</v>
      </c>
      <c r="B137" s="14" t="s">
        <v>482</v>
      </c>
      <c r="C137" s="15" t="s">
        <v>280</v>
      </c>
      <c r="D137" s="19">
        <f t="shared" si="13"/>
        <v>32</v>
      </c>
      <c r="E137" s="16" t="str">
        <f t="shared" si="14"/>
        <v>--</v>
      </c>
      <c r="F137" s="16">
        <f t="shared" si="15"/>
        <v>40</v>
      </c>
      <c r="G137" s="16" t="str">
        <f t="shared" si="16"/>
        <v>--</v>
      </c>
      <c r="H137" s="24" t="str">
        <f>IFERROR(VLOOKUP(B137,#REF!,8,FALSE),"")</f>
        <v/>
      </c>
      <c r="I137" s="17">
        <v>15000</v>
      </c>
      <c r="J137" s="17">
        <v>3000</v>
      </c>
      <c r="K137" s="24" t="str">
        <f>IFERROR(VLOOKUP(B137,#REF!,11,FALSE),"")</f>
        <v/>
      </c>
      <c r="L137" s="17">
        <v>12000</v>
      </c>
      <c r="M137" s="6" t="s">
        <v>755</v>
      </c>
      <c r="N137" s="18" t="str">
        <f>IFERROR(VLOOKUP(B137,#REF!,13,FALSE),"")</f>
        <v/>
      </c>
      <c r="O137" s="19" t="str">
        <f>IFERROR(VLOOKUP(B137,#REF!,14,FALSE),"")</f>
        <v/>
      </c>
      <c r="P137" s="19" t="str">
        <f>IFERROR(VLOOKUP(B137,#REF!,15,FALSE),"")</f>
        <v/>
      </c>
      <c r="Q137" s="19"/>
      <c r="R137" s="25" t="str">
        <f>IFERROR(VLOOKUP(B137,#REF!,16,FALSE),"")</f>
        <v/>
      </c>
      <c r="S137" s="17">
        <v>0</v>
      </c>
      <c r="T137" s="17">
        <v>12000</v>
      </c>
      <c r="U137" s="17">
        <v>0</v>
      </c>
      <c r="V137" s="17">
        <v>0</v>
      </c>
      <c r="W137" s="20">
        <v>27000</v>
      </c>
      <c r="X137" s="16">
        <v>72</v>
      </c>
      <c r="Y137" s="21" t="s">
        <v>40</v>
      </c>
      <c r="Z137" s="20">
        <v>375</v>
      </c>
      <c r="AA137" s="17" t="s">
        <v>40</v>
      </c>
      <c r="AB137" s="22" t="s">
        <v>41</v>
      </c>
      <c r="AC137" s="23" t="str">
        <f t="shared" si="17"/>
        <v>E</v>
      </c>
      <c r="AD137" s="17">
        <v>0</v>
      </c>
      <c r="AE137" s="17">
        <v>0</v>
      </c>
      <c r="AF137" s="17">
        <v>0</v>
      </c>
      <c r="AG137" s="17">
        <v>0</v>
      </c>
      <c r="AH137" s="15" t="s">
        <v>42</v>
      </c>
    </row>
    <row r="138" spans="1:34">
      <c r="A138" s="13" t="str">
        <f t="shared" si="12"/>
        <v>ZeroZero</v>
      </c>
      <c r="B138" s="14" t="s">
        <v>425</v>
      </c>
      <c r="C138" s="15" t="s">
        <v>280</v>
      </c>
      <c r="D138" s="19" t="str">
        <f t="shared" si="13"/>
        <v>前八週無拉料</v>
      </c>
      <c r="E138" s="16" t="str">
        <f t="shared" si="14"/>
        <v>--</v>
      </c>
      <c r="F138" s="16" t="str">
        <f t="shared" si="15"/>
        <v>--</v>
      </c>
      <c r="G138" s="16" t="str">
        <f t="shared" si="16"/>
        <v>--</v>
      </c>
      <c r="H138" s="24" t="str">
        <f>IFERROR(VLOOKUP(B138,#REF!,8,FALSE),"")</f>
        <v/>
      </c>
      <c r="I138" s="17">
        <v>0</v>
      </c>
      <c r="J138" s="17">
        <v>0</v>
      </c>
      <c r="K138" s="24" t="str">
        <f>IFERROR(VLOOKUP(B138,#REF!,11,FALSE),"")</f>
        <v/>
      </c>
      <c r="L138" s="17">
        <v>9000</v>
      </c>
      <c r="M138" s="6" t="s">
        <v>758</v>
      </c>
      <c r="N138" s="18" t="str">
        <f>IFERROR(VLOOKUP(B138,#REF!,13,FALSE),"")</f>
        <v/>
      </c>
      <c r="O138" s="19" t="str">
        <f>IFERROR(VLOOKUP(B138,#REF!,14,FALSE),"")</f>
        <v/>
      </c>
      <c r="P138" s="19" t="str">
        <f>IFERROR(VLOOKUP(B138,#REF!,15,FALSE),"")</f>
        <v/>
      </c>
      <c r="Q138" s="19"/>
      <c r="R138" s="25" t="str">
        <f>IFERROR(VLOOKUP(B138,#REF!,16,FALSE),"")</f>
        <v/>
      </c>
      <c r="S138" s="17">
        <v>0</v>
      </c>
      <c r="T138" s="17">
        <v>9000</v>
      </c>
      <c r="U138" s="17">
        <v>0</v>
      </c>
      <c r="V138" s="17">
        <v>0</v>
      </c>
      <c r="W138" s="20">
        <v>9000</v>
      </c>
      <c r="X138" s="16" t="s">
        <v>40</v>
      </c>
      <c r="Y138" s="21" t="s">
        <v>40</v>
      </c>
      <c r="Z138" s="20">
        <v>0</v>
      </c>
      <c r="AA138" s="17" t="s">
        <v>40</v>
      </c>
      <c r="AB138" s="22" t="s">
        <v>41</v>
      </c>
      <c r="AC138" s="23" t="str">
        <f t="shared" si="17"/>
        <v>E</v>
      </c>
      <c r="AD138" s="17">
        <v>0</v>
      </c>
      <c r="AE138" s="17">
        <v>0</v>
      </c>
      <c r="AF138" s="17">
        <v>0</v>
      </c>
      <c r="AG138" s="17">
        <v>0</v>
      </c>
      <c r="AH138" s="15" t="s">
        <v>42</v>
      </c>
    </row>
    <row r="139" spans="1:34">
      <c r="A139" s="13" t="str">
        <f t="shared" si="12"/>
        <v>OverStock</v>
      </c>
      <c r="B139" s="14" t="s">
        <v>286</v>
      </c>
      <c r="C139" s="15" t="s">
        <v>280</v>
      </c>
      <c r="D139" s="19">
        <f t="shared" si="13"/>
        <v>17.7</v>
      </c>
      <c r="E139" s="16" t="str">
        <f t="shared" si="14"/>
        <v>--</v>
      </c>
      <c r="F139" s="16">
        <f t="shared" si="15"/>
        <v>24.6</v>
      </c>
      <c r="G139" s="16" t="str">
        <f t="shared" si="16"/>
        <v>--</v>
      </c>
      <c r="H139" s="24" t="str">
        <f>IFERROR(VLOOKUP(B139,#REF!,8,FALSE),"")</f>
        <v/>
      </c>
      <c r="I139" s="17">
        <v>129000</v>
      </c>
      <c r="J139" s="17">
        <v>30000</v>
      </c>
      <c r="K139" s="24" t="str">
        <f>IFERROR(VLOOKUP(B139,#REF!,11,FALSE),"")</f>
        <v/>
      </c>
      <c r="L139" s="17">
        <v>93000</v>
      </c>
      <c r="M139" s="6" t="s">
        <v>752</v>
      </c>
      <c r="N139" s="18" t="str">
        <f>IFERROR(VLOOKUP(B139,#REF!,13,FALSE),"")</f>
        <v/>
      </c>
      <c r="O139" s="19" t="str">
        <f>IFERROR(VLOOKUP(B139,#REF!,14,FALSE),"")</f>
        <v/>
      </c>
      <c r="P139" s="19" t="str">
        <f>IFERROR(VLOOKUP(B139,#REF!,15,FALSE),"")</f>
        <v/>
      </c>
      <c r="Q139" s="19"/>
      <c r="R139" s="25" t="str">
        <f>IFERROR(VLOOKUP(B139,#REF!,16,FALSE),"")</f>
        <v/>
      </c>
      <c r="S139" s="17">
        <v>0</v>
      </c>
      <c r="T139" s="17">
        <v>93000</v>
      </c>
      <c r="U139" s="17">
        <v>0</v>
      </c>
      <c r="V139" s="17">
        <v>0</v>
      </c>
      <c r="W139" s="20">
        <v>222000</v>
      </c>
      <c r="X139" s="16">
        <v>42.3</v>
      </c>
      <c r="Y139" s="21" t="s">
        <v>40</v>
      </c>
      <c r="Z139" s="20">
        <v>5250</v>
      </c>
      <c r="AA139" s="17" t="s">
        <v>40</v>
      </c>
      <c r="AB139" s="22" t="s">
        <v>41</v>
      </c>
      <c r="AC139" s="23" t="str">
        <f t="shared" si="17"/>
        <v>E</v>
      </c>
      <c r="AD139" s="17">
        <v>0</v>
      </c>
      <c r="AE139" s="17">
        <v>0</v>
      </c>
      <c r="AF139" s="17">
        <v>0</v>
      </c>
      <c r="AG139" s="17">
        <v>0</v>
      </c>
      <c r="AH139" s="15" t="s">
        <v>42</v>
      </c>
    </row>
    <row r="140" spans="1:34">
      <c r="A140" s="13" t="str">
        <f t="shared" si="12"/>
        <v>OverStock</v>
      </c>
      <c r="B140" s="14" t="s">
        <v>170</v>
      </c>
      <c r="C140" s="15" t="s">
        <v>46</v>
      </c>
      <c r="D140" s="19">
        <f t="shared" si="13"/>
        <v>32.299999999999997</v>
      </c>
      <c r="E140" s="16" t="str">
        <f t="shared" si="14"/>
        <v>--</v>
      </c>
      <c r="F140" s="16">
        <f t="shared" si="15"/>
        <v>40.299999999999997</v>
      </c>
      <c r="G140" s="16" t="str">
        <f t="shared" si="16"/>
        <v>--</v>
      </c>
      <c r="H140" s="24" t="str">
        <f>IFERROR(VLOOKUP(B140,#REF!,8,FALSE),"")</f>
        <v/>
      </c>
      <c r="I140" s="17">
        <v>5000</v>
      </c>
      <c r="J140" s="17">
        <v>5000</v>
      </c>
      <c r="K140" s="24" t="str">
        <f>IFERROR(VLOOKUP(B140,#REF!,11,FALSE),"")</f>
        <v/>
      </c>
      <c r="L140" s="17">
        <v>4010</v>
      </c>
      <c r="M140" s="6" t="s">
        <v>745</v>
      </c>
      <c r="N140" s="18" t="str">
        <f>IFERROR(VLOOKUP(B140,#REF!,13,FALSE),"")</f>
        <v/>
      </c>
      <c r="O140" s="19" t="str">
        <f>IFERROR(VLOOKUP(B140,#REF!,14,FALSE),"")</f>
        <v/>
      </c>
      <c r="P140" s="19" t="str">
        <f>IFERROR(VLOOKUP(B140,#REF!,15,FALSE),"")</f>
        <v/>
      </c>
      <c r="Q140" s="19"/>
      <c r="R140" s="25" t="str">
        <f>IFERROR(VLOOKUP(B140,#REF!,16,FALSE),"")</f>
        <v/>
      </c>
      <c r="S140" s="17">
        <v>0</v>
      </c>
      <c r="T140" s="17">
        <v>4010</v>
      </c>
      <c r="U140" s="17">
        <v>0</v>
      </c>
      <c r="V140" s="17">
        <v>0</v>
      </c>
      <c r="W140" s="20">
        <v>9010</v>
      </c>
      <c r="X140" s="16">
        <v>72.7</v>
      </c>
      <c r="Y140" s="21" t="s">
        <v>40</v>
      </c>
      <c r="Z140" s="20">
        <v>124</v>
      </c>
      <c r="AA140" s="17" t="s">
        <v>40</v>
      </c>
      <c r="AB140" s="22" t="s">
        <v>41</v>
      </c>
      <c r="AC140" s="23" t="str">
        <f t="shared" si="17"/>
        <v>E</v>
      </c>
      <c r="AD140" s="17">
        <v>0</v>
      </c>
      <c r="AE140" s="17">
        <v>0</v>
      </c>
      <c r="AF140" s="17">
        <v>0</v>
      </c>
      <c r="AG140" s="17">
        <v>0</v>
      </c>
      <c r="AH140" s="15" t="s">
        <v>42</v>
      </c>
    </row>
    <row r="141" spans="1:34">
      <c r="A141" s="13" t="str">
        <f t="shared" si="12"/>
        <v>OverStock</v>
      </c>
      <c r="B141" s="14" t="s">
        <v>171</v>
      </c>
      <c r="C141" s="15" t="s">
        <v>46</v>
      </c>
      <c r="D141" s="19">
        <f t="shared" si="13"/>
        <v>32.299999999999997</v>
      </c>
      <c r="E141" s="16" t="str">
        <f t="shared" si="14"/>
        <v>--</v>
      </c>
      <c r="F141" s="16">
        <f t="shared" si="15"/>
        <v>40.299999999999997</v>
      </c>
      <c r="G141" s="16" t="str">
        <f t="shared" si="16"/>
        <v>--</v>
      </c>
      <c r="H141" s="24" t="str">
        <f>IFERROR(VLOOKUP(B141,#REF!,8,FALSE),"")</f>
        <v/>
      </c>
      <c r="I141" s="17">
        <v>5000</v>
      </c>
      <c r="J141" s="17">
        <v>5000</v>
      </c>
      <c r="K141" s="24" t="str">
        <f>IFERROR(VLOOKUP(B141,#REF!,11,FALSE),"")</f>
        <v/>
      </c>
      <c r="L141" s="17">
        <v>4010</v>
      </c>
      <c r="M141" s="6" t="s">
        <v>745</v>
      </c>
      <c r="N141" s="18" t="str">
        <f>IFERROR(VLOOKUP(B141,#REF!,13,FALSE),"")</f>
        <v/>
      </c>
      <c r="O141" s="19" t="str">
        <f>IFERROR(VLOOKUP(B141,#REF!,14,FALSE),"")</f>
        <v/>
      </c>
      <c r="P141" s="19" t="str">
        <f>IFERROR(VLOOKUP(B141,#REF!,15,FALSE),"")</f>
        <v/>
      </c>
      <c r="Q141" s="19"/>
      <c r="R141" s="25" t="str">
        <f>IFERROR(VLOOKUP(B141,#REF!,16,FALSE),"")</f>
        <v/>
      </c>
      <c r="S141" s="17">
        <v>0</v>
      </c>
      <c r="T141" s="17">
        <v>4010</v>
      </c>
      <c r="U141" s="17">
        <v>0</v>
      </c>
      <c r="V141" s="17">
        <v>0</v>
      </c>
      <c r="W141" s="20">
        <v>9010</v>
      </c>
      <c r="X141" s="16">
        <v>72.7</v>
      </c>
      <c r="Y141" s="21" t="s">
        <v>40</v>
      </c>
      <c r="Z141" s="20">
        <v>124</v>
      </c>
      <c r="AA141" s="17" t="s">
        <v>40</v>
      </c>
      <c r="AB141" s="22" t="s">
        <v>41</v>
      </c>
      <c r="AC141" s="23" t="str">
        <f t="shared" si="17"/>
        <v>E</v>
      </c>
      <c r="AD141" s="17">
        <v>0</v>
      </c>
      <c r="AE141" s="17">
        <v>0</v>
      </c>
      <c r="AF141" s="17">
        <v>0</v>
      </c>
      <c r="AG141" s="17">
        <v>0</v>
      </c>
      <c r="AH141" s="15" t="s">
        <v>42</v>
      </c>
    </row>
    <row r="142" spans="1:34">
      <c r="A142" s="13" t="str">
        <f t="shared" si="12"/>
        <v>ZeroZero</v>
      </c>
      <c r="B142" s="14" t="s">
        <v>635</v>
      </c>
      <c r="C142" s="15" t="s">
        <v>277</v>
      </c>
      <c r="D142" s="19" t="str">
        <f t="shared" si="13"/>
        <v>前八週無拉料</v>
      </c>
      <c r="E142" s="16" t="str">
        <f t="shared" si="14"/>
        <v>--</v>
      </c>
      <c r="F142" s="16" t="str">
        <f t="shared" si="15"/>
        <v>--</v>
      </c>
      <c r="G142" s="16" t="str">
        <f t="shared" si="16"/>
        <v>--</v>
      </c>
      <c r="H142" s="24" t="str">
        <f>IFERROR(VLOOKUP(B142,#REF!,8,FALSE),"")</f>
        <v/>
      </c>
      <c r="I142" s="17">
        <v>0</v>
      </c>
      <c r="J142" s="17">
        <v>0</v>
      </c>
      <c r="K142" s="24" t="str">
        <f>IFERROR(VLOOKUP(B142,#REF!,11,FALSE),"")</f>
        <v/>
      </c>
      <c r="L142" s="17">
        <v>12000</v>
      </c>
      <c r="M142" s="6" t="s">
        <v>752</v>
      </c>
      <c r="N142" s="18" t="str">
        <f>IFERROR(VLOOKUP(B142,#REF!,13,FALSE),"")</f>
        <v/>
      </c>
      <c r="O142" s="19" t="str">
        <f>IFERROR(VLOOKUP(B142,#REF!,14,FALSE),"")</f>
        <v/>
      </c>
      <c r="P142" s="19" t="str">
        <f>IFERROR(VLOOKUP(B142,#REF!,15,FALSE),"")</f>
        <v/>
      </c>
      <c r="Q142" s="19"/>
      <c r="R142" s="25" t="str">
        <f>IFERROR(VLOOKUP(B142,#REF!,16,FALSE),"")</f>
        <v/>
      </c>
      <c r="S142" s="17">
        <v>0</v>
      </c>
      <c r="T142" s="17">
        <v>12000</v>
      </c>
      <c r="U142" s="17">
        <v>0</v>
      </c>
      <c r="V142" s="17">
        <v>0</v>
      </c>
      <c r="W142" s="20">
        <v>12000</v>
      </c>
      <c r="X142" s="16" t="s">
        <v>40</v>
      </c>
      <c r="Y142" s="21" t="s">
        <v>40</v>
      </c>
      <c r="Z142" s="20">
        <v>0</v>
      </c>
      <c r="AA142" s="17" t="s">
        <v>40</v>
      </c>
      <c r="AB142" s="22" t="s">
        <v>41</v>
      </c>
      <c r="AC142" s="23" t="str">
        <f t="shared" si="17"/>
        <v>E</v>
      </c>
      <c r="AD142" s="17">
        <v>0</v>
      </c>
      <c r="AE142" s="17">
        <v>0</v>
      </c>
      <c r="AF142" s="17">
        <v>0</v>
      </c>
      <c r="AG142" s="17">
        <v>0</v>
      </c>
      <c r="AH142" s="15" t="s">
        <v>42</v>
      </c>
    </row>
    <row r="143" spans="1:34">
      <c r="A143" s="13" t="str">
        <f t="shared" si="12"/>
        <v>ZeroZero</v>
      </c>
      <c r="B143" s="14" t="s">
        <v>563</v>
      </c>
      <c r="C143" s="15" t="s">
        <v>555</v>
      </c>
      <c r="D143" s="19" t="str">
        <f t="shared" si="13"/>
        <v>前八週無拉料</v>
      </c>
      <c r="E143" s="16" t="str">
        <f t="shared" si="14"/>
        <v>--</v>
      </c>
      <c r="F143" s="16" t="str">
        <f t="shared" si="15"/>
        <v>--</v>
      </c>
      <c r="G143" s="16" t="str">
        <f t="shared" si="16"/>
        <v>--</v>
      </c>
      <c r="H143" s="24" t="str">
        <f>IFERROR(VLOOKUP(B143,#REF!,8,FALSE),"")</f>
        <v/>
      </c>
      <c r="I143" s="17">
        <v>0</v>
      </c>
      <c r="J143" s="17">
        <v>0</v>
      </c>
      <c r="K143" s="24" t="str">
        <f>IFERROR(VLOOKUP(B143,#REF!,11,FALSE),"")</f>
        <v/>
      </c>
      <c r="L143" s="17">
        <v>33000</v>
      </c>
      <c r="M143" s="6" t="s">
        <v>752</v>
      </c>
      <c r="N143" s="18" t="str">
        <f>IFERROR(VLOOKUP(B143,#REF!,13,FALSE),"")</f>
        <v/>
      </c>
      <c r="O143" s="19" t="str">
        <f>IFERROR(VLOOKUP(B143,#REF!,14,FALSE),"")</f>
        <v/>
      </c>
      <c r="P143" s="19" t="str">
        <f>IFERROR(VLOOKUP(B143,#REF!,15,FALSE),"")</f>
        <v/>
      </c>
      <c r="Q143" s="19"/>
      <c r="R143" s="25" t="str">
        <f>IFERROR(VLOOKUP(B143,#REF!,16,FALSE),"")</f>
        <v/>
      </c>
      <c r="S143" s="17">
        <v>0</v>
      </c>
      <c r="T143" s="17">
        <v>33000</v>
      </c>
      <c r="U143" s="17">
        <v>0</v>
      </c>
      <c r="V143" s="17">
        <v>0</v>
      </c>
      <c r="W143" s="20">
        <v>33000</v>
      </c>
      <c r="X143" s="16" t="s">
        <v>40</v>
      </c>
      <c r="Y143" s="21" t="s">
        <v>40</v>
      </c>
      <c r="Z143" s="20">
        <v>0</v>
      </c>
      <c r="AA143" s="17" t="s">
        <v>40</v>
      </c>
      <c r="AB143" s="22" t="s">
        <v>41</v>
      </c>
      <c r="AC143" s="23" t="str">
        <f t="shared" si="17"/>
        <v>E</v>
      </c>
      <c r="AD143" s="17">
        <v>0</v>
      </c>
      <c r="AE143" s="17">
        <v>0</v>
      </c>
      <c r="AF143" s="17">
        <v>0</v>
      </c>
      <c r="AG143" s="17">
        <v>0</v>
      </c>
      <c r="AH143" s="15" t="s">
        <v>42</v>
      </c>
    </row>
    <row r="144" spans="1:34">
      <c r="A144" s="13" t="str">
        <f t="shared" si="12"/>
        <v>OverStock</v>
      </c>
      <c r="B144" s="14" t="s">
        <v>461</v>
      </c>
      <c r="C144" s="15" t="s">
        <v>280</v>
      </c>
      <c r="D144" s="19">
        <f t="shared" si="13"/>
        <v>60</v>
      </c>
      <c r="E144" s="16">
        <f t="shared" si="14"/>
        <v>333.3</v>
      </c>
      <c r="F144" s="16">
        <f t="shared" si="15"/>
        <v>60</v>
      </c>
      <c r="G144" s="16">
        <f t="shared" si="16"/>
        <v>333.3</v>
      </c>
      <c r="H144" s="24" t="str">
        <f>IFERROR(VLOOKUP(B144,#REF!,8,FALSE),"")</f>
        <v/>
      </c>
      <c r="I144" s="17">
        <v>75000</v>
      </c>
      <c r="J144" s="17">
        <v>50000</v>
      </c>
      <c r="K144" s="24" t="str">
        <f>IFERROR(VLOOKUP(B144,#REF!,11,FALSE),"")</f>
        <v/>
      </c>
      <c r="L144" s="17">
        <v>75000</v>
      </c>
      <c r="M144" s="6" t="s">
        <v>748</v>
      </c>
      <c r="N144" s="18" t="str">
        <f>IFERROR(VLOOKUP(B144,#REF!,13,FALSE),"")</f>
        <v/>
      </c>
      <c r="O144" s="19" t="str">
        <f>IFERROR(VLOOKUP(B144,#REF!,14,FALSE),"")</f>
        <v/>
      </c>
      <c r="P144" s="19" t="str">
        <f>IFERROR(VLOOKUP(B144,#REF!,15,FALSE),"")</f>
        <v/>
      </c>
      <c r="Q144" s="19"/>
      <c r="R144" s="25" t="str">
        <f>IFERROR(VLOOKUP(B144,#REF!,16,FALSE),"")</f>
        <v/>
      </c>
      <c r="S144" s="17">
        <v>0</v>
      </c>
      <c r="T144" s="17">
        <v>75000</v>
      </c>
      <c r="U144" s="17">
        <v>0</v>
      </c>
      <c r="V144" s="17">
        <v>0</v>
      </c>
      <c r="W144" s="20">
        <v>150000</v>
      </c>
      <c r="X144" s="16">
        <v>120</v>
      </c>
      <c r="Y144" s="21">
        <v>666.7</v>
      </c>
      <c r="Z144" s="20">
        <v>1250</v>
      </c>
      <c r="AA144" s="17">
        <v>225</v>
      </c>
      <c r="AB144" s="22">
        <v>0.2</v>
      </c>
      <c r="AC144" s="23">
        <f t="shared" si="17"/>
        <v>50</v>
      </c>
      <c r="AD144" s="17">
        <v>0</v>
      </c>
      <c r="AE144" s="17">
        <v>0</v>
      </c>
      <c r="AF144" s="17">
        <v>2029</v>
      </c>
      <c r="AG144" s="17">
        <v>5500</v>
      </c>
      <c r="AH144" s="15" t="s">
        <v>42</v>
      </c>
    </row>
    <row r="145" spans="1:34">
      <c r="A145" s="13" t="str">
        <f t="shared" si="12"/>
        <v>ZeroZero</v>
      </c>
      <c r="B145" s="14" t="s">
        <v>408</v>
      </c>
      <c r="C145" s="15" t="s">
        <v>280</v>
      </c>
      <c r="D145" s="19" t="str">
        <f t="shared" si="13"/>
        <v>前八週無拉料</v>
      </c>
      <c r="E145" s="16" t="str">
        <f t="shared" si="14"/>
        <v>--</v>
      </c>
      <c r="F145" s="16" t="str">
        <f t="shared" si="15"/>
        <v>--</v>
      </c>
      <c r="G145" s="16" t="str">
        <f t="shared" si="16"/>
        <v>--</v>
      </c>
      <c r="H145" s="24" t="str">
        <f>IFERROR(VLOOKUP(B145,#REF!,8,FALSE),"")</f>
        <v/>
      </c>
      <c r="I145" s="17">
        <v>0</v>
      </c>
      <c r="J145" s="17">
        <v>0</v>
      </c>
      <c r="K145" s="24" t="str">
        <f>IFERROR(VLOOKUP(B145,#REF!,11,FALSE),"")</f>
        <v/>
      </c>
      <c r="L145" s="17">
        <v>6000</v>
      </c>
      <c r="M145" s="6" t="s">
        <v>748</v>
      </c>
      <c r="N145" s="18" t="str">
        <f>IFERROR(VLOOKUP(B145,#REF!,13,FALSE),"")</f>
        <v/>
      </c>
      <c r="O145" s="19" t="str">
        <f>IFERROR(VLOOKUP(B145,#REF!,14,FALSE),"")</f>
        <v/>
      </c>
      <c r="P145" s="19" t="str">
        <f>IFERROR(VLOOKUP(B145,#REF!,15,FALSE),"")</f>
        <v/>
      </c>
      <c r="Q145" s="19"/>
      <c r="R145" s="25" t="str">
        <f>IFERROR(VLOOKUP(B145,#REF!,16,FALSE),"")</f>
        <v/>
      </c>
      <c r="S145" s="17">
        <v>0</v>
      </c>
      <c r="T145" s="17">
        <v>6000</v>
      </c>
      <c r="U145" s="17">
        <v>0</v>
      </c>
      <c r="V145" s="17">
        <v>0</v>
      </c>
      <c r="W145" s="20">
        <v>6000</v>
      </c>
      <c r="X145" s="16" t="s">
        <v>40</v>
      </c>
      <c r="Y145" s="21" t="s">
        <v>40</v>
      </c>
      <c r="Z145" s="20">
        <v>0</v>
      </c>
      <c r="AA145" s="17" t="s">
        <v>40</v>
      </c>
      <c r="AB145" s="22" t="s">
        <v>41</v>
      </c>
      <c r="AC145" s="23" t="str">
        <f t="shared" si="17"/>
        <v>E</v>
      </c>
      <c r="AD145" s="17">
        <v>0</v>
      </c>
      <c r="AE145" s="17">
        <v>0</v>
      </c>
      <c r="AF145" s="17">
        <v>0</v>
      </c>
      <c r="AG145" s="17">
        <v>0</v>
      </c>
      <c r="AH145" s="15" t="s">
        <v>42</v>
      </c>
    </row>
    <row r="146" spans="1:34">
      <c r="A146" s="13" t="str">
        <f t="shared" si="12"/>
        <v>ZeroZero</v>
      </c>
      <c r="B146" s="14" t="s">
        <v>374</v>
      </c>
      <c r="C146" s="15" t="s">
        <v>280</v>
      </c>
      <c r="D146" s="19" t="str">
        <f t="shared" si="13"/>
        <v>前八週無拉料</v>
      </c>
      <c r="E146" s="16" t="str">
        <f t="shared" si="14"/>
        <v>--</v>
      </c>
      <c r="F146" s="16" t="str">
        <f t="shared" si="15"/>
        <v>--</v>
      </c>
      <c r="G146" s="16" t="str">
        <f t="shared" si="16"/>
        <v>--</v>
      </c>
      <c r="H146" s="24" t="str">
        <f>IFERROR(VLOOKUP(B146,#REF!,8,FALSE),"")</f>
        <v/>
      </c>
      <c r="I146" s="17">
        <v>5000</v>
      </c>
      <c r="J146" s="17">
        <v>0</v>
      </c>
      <c r="K146" s="24" t="str">
        <f>IFERROR(VLOOKUP(B146,#REF!,11,FALSE),"")</f>
        <v/>
      </c>
      <c r="L146" s="17">
        <v>25000</v>
      </c>
      <c r="M146" s="6" t="s">
        <v>748</v>
      </c>
      <c r="N146" s="18" t="str">
        <f>IFERROR(VLOOKUP(B146,#REF!,13,FALSE),"")</f>
        <v/>
      </c>
      <c r="O146" s="19" t="str">
        <f>IFERROR(VLOOKUP(B146,#REF!,14,FALSE),"")</f>
        <v/>
      </c>
      <c r="P146" s="19" t="str">
        <f>IFERROR(VLOOKUP(B146,#REF!,15,FALSE),"")</f>
        <v/>
      </c>
      <c r="Q146" s="19"/>
      <c r="R146" s="25" t="str">
        <f>IFERROR(VLOOKUP(B146,#REF!,16,FALSE),"")</f>
        <v/>
      </c>
      <c r="S146" s="17">
        <v>0</v>
      </c>
      <c r="T146" s="17">
        <v>25000</v>
      </c>
      <c r="U146" s="17">
        <v>0</v>
      </c>
      <c r="V146" s="17">
        <v>0</v>
      </c>
      <c r="W146" s="20">
        <v>30000</v>
      </c>
      <c r="X146" s="16" t="s">
        <v>40</v>
      </c>
      <c r="Y146" s="21" t="s">
        <v>40</v>
      </c>
      <c r="Z146" s="20">
        <v>0</v>
      </c>
      <c r="AA146" s="17" t="s">
        <v>40</v>
      </c>
      <c r="AB146" s="22" t="s">
        <v>41</v>
      </c>
      <c r="AC146" s="23" t="str">
        <f t="shared" si="17"/>
        <v>E</v>
      </c>
      <c r="AD146" s="17">
        <v>0</v>
      </c>
      <c r="AE146" s="17">
        <v>0</v>
      </c>
      <c r="AF146" s="17">
        <v>0</v>
      </c>
      <c r="AG146" s="17">
        <v>0</v>
      </c>
      <c r="AH146" s="15" t="s">
        <v>42</v>
      </c>
    </row>
    <row r="147" spans="1:34">
      <c r="A147" s="13" t="str">
        <f t="shared" si="12"/>
        <v>OverStock</v>
      </c>
      <c r="B147" s="14" t="s">
        <v>166</v>
      </c>
      <c r="C147" s="15" t="s">
        <v>46</v>
      </c>
      <c r="D147" s="19">
        <f t="shared" si="13"/>
        <v>13.6</v>
      </c>
      <c r="E147" s="16" t="str">
        <f t="shared" si="14"/>
        <v>--</v>
      </c>
      <c r="F147" s="16">
        <f t="shared" si="15"/>
        <v>21.9</v>
      </c>
      <c r="G147" s="16" t="str">
        <f t="shared" si="16"/>
        <v>--</v>
      </c>
      <c r="H147" s="24" t="str">
        <f>IFERROR(VLOOKUP(B147,#REF!,8,FALSE),"")</f>
        <v/>
      </c>
      <c r="I147" s="17">
        <v>5000</v>
      </c>
      <c r="J147" s="17">
        <v>5000</v>
      </c>
      <c r="K147" s="24" t="str">
        <f>IFERROR(VLOOKUP(B147,#REF!,11,FALSE),"")</f>
        <v/>
      </c>
      <c r="L147" s="17">
        <v>3090</v>
      </c>
      <c r="M147" s="6" t="s">
        <v>745</v>
      </c>
      <c r="N147" s="18" t="str">
        <f>IFERROR(VLOOKUP(B147,#REF!,13,FALSE),"")</f>
        <v/>
      </c>
      <c r="O147" s="19" t="str">
        <f>IFERROR(VLOOKUP(B147,#REF!,14,FALSE),"")</f>
        <v/>
      </c>
      <c r="P147" s="19" t="str">
        <f>IFERROR(VLOOKUP(B147,#REF!,15,FALSE),"")</f>
        <v/>
      </c>
      <c r="Q147" s="19"/>
      <c r="R147" s="25" t="str">
        <f>IFERROR(VLOOKUP(B147,#REF!,16,FALSE),"")</f>
        <v/>
      </c>
      <c r="S147" s="17">
        <v>0</v>
      </c>
      <c r="T147" s="17">
        <v>3090</v>
      </c>
      <c r="U147" s="17">
        <v>0</v>
      </c>
      <c r="V147" s="17">
        <v>0</v>
      </c>
      <c r="W147" s="20">
        <v>8090</v>
      </c>
      <c r="X147" s="16">
        <v>35.5</v>
      </c>
      <c r="Y147" s="21" t="s">
        <v>40</v>
      </c>
      <c r="Z147" s="20">
        <v>228</v>
      </c>
      <c r="AA147" s="17" t="s">
        <v>40</v>
      </c>
      <c r="AB147" s="22" t="s">
        <v>41</v>
      </c>
      <c r="AC147" s="23" t="str">
        <f t="shared" si="17"/>
        <v>E</v>
      </c>
      <c r="AD147" s="17">
        <v>0</v>
      </c>
      <c r="AE147" s="17">
        <v>0</v>
      </c>
      <c r="AF147" s="17">
        <v>0</v>
      </c>
      <c r="AG147" s="17">
        <v>0</v>
      </c>
      <c r="AH147" s="15" t="s">
        <v>42</v>
      </c>
    </row>
    <row r="148" spans="1:34">
      <c r="A148" s="13" t="str">
        <f t="shared" si="12"/>
        <v>ZeroZero</v>
      </c>
      <c r="B148" s="14" t="s">
        <v>154</v>
      </c>
      <c r="C148" s="15" t="s">
        <v>46</v>
      </c>
      <c r="D148" s="19" t="str">
        <f t="shared" si="13"/>
        <v>前八週無拉料</v>
      </c>
      <c r="E148" s="16" t="str">
        <f t="shared" si="14"/>
        <v>--</v>
      </c>
      <c r="F148" s="16" t="str">
        <f t="shared" si="15"/>
        <v>--</v>
      </c>
      <c r="G148" s="16" t="str">
        <f t="shared" si="16"/>
        <v>--</v>
      </c>
      <c r="H148" s="24" t="str">
        <f>IFERROR(VLOOKUP(B148,#REF!,8,FALSE),"")</f>
        <v/>
      </c>
      <c r="I148" s="17">
        <v>15000</v>
      </c>
      <c r="J148" s="17">
        <v>15000</v>
      </c>
      <c r="K148" s="24" t="str">
        <f>IFERROR(VLOOKUP(B148,#REF!,11,FALSE),"")</f>
        <v/>
      </c>
      <c r="L148" s="17">
        <v>5000</v>
      </c>
      <c r="M148" s="6" t="s">
        <v>745</v>
      </c>
      <c r="N148" s="18" t="str">
        <f>IFERROR(VLOOKUP(B148,#REF!,13,FALSE),"")</f>
        <v/>
      </c>
      <c r="O148" s="19" t="str">
        <f>IFERROR(VLOOKUP(B148,#REF!,14,FALSE),"")</f>
        <v/>
      </c>
      <c r="P148" s="19" t="str">
        <f>IFERROR(VLOOKUP(B148,#REF!,15,FALSE),"")</f>
        <v/>
      </c>
      <c r="Q148" s="19"/>
      <c r="R148" s="25" t="str">
        <f>IFERROR(VLOOKUP(B148,#REF!,16,FALSE),"")</f>
        <v/>
      </c>
      <c r="S148" s="17">
        <v>0</v>
      </c>
      <c r="T148" s="17">
        <v>5000</v>
      </c>
      <c r="U148" s="17">
        <v>0</v>
      </c>
      <c r="V148" s="17">
        <v>0</v>
      </c>
      <c r="W148" s="20">
        <v>20000</v>
      </c>
      <c r="X148" s="16" t="s">
        <v>40</v>
      </c>
      <c r="Y148" s="21" t="s">
        <v>40</v>
      </c>
      <c r="Z148" s="20">
        <v>0</v>
      </c>
      <c r="AA148" s="17" t="s">
        <v>40</v>
      </c>
      <c r="AB148" s="22" t="s">
        <v>41</v>
      </c>
      <c r="AC148" s="23" t="str">
        <f t="shared" si="17"/>
        <v>E</v>
      </c>
      <c r="AD148" s="17">
        <v>0</v>
      </c>
      <c r="AE148" s="17">
        <v>0</v>
      </c>
      <c r="AF148" s="17">
        <v>0</v>
      </c>
      <c r="AG148" s="17">
        <v>0</v>
      </c>
      <c r="AH148" s="15" t="s">
        <v>42</v>
      </c>
    </row>
    <row r="149" spans="1:34">
      <c r="A149" s="13" t="str">
        <f t="shared" si="12"/>
        <v>OverStock</v>
      </c>
      <c r="B149" s="14" t="s">
        <v>453</v>
      </c>
      <c r="C149" s="15" t="s">
        <v>280</v>
      </c>
      <c r="D149" s="19">
        <f t="shared" si="13"/>
        <v>64</v>
      </c>
      <c r="E149" s="16">
        <f t="shared" si="14"/>
        <v>25.2</v>
      </c>
      <c r="F149" s="16">
        <f t="shared" si="15"/>
        <v>152</v>
      </c>
      <c r="G149" s="16">
        <f t="shared" si="16"/>
        <v>59.8</v>
      </c>
      <c r="H149" s="24" t="str">
        <f>IFERROR(VLOOKUP(B149,#REF!,8,FALSE),"")</f>
        <v/>
      </c>
      <c r="I149" s="17">
        <v>95000</v>
      </c>
      <c r="J149" s="17">
        <v>0</v>
      </c>
      <c r="K149" s="24" t="str">
        <f>IFERROR(VLOOKUP(B149,#REF!,11,FALSE),"")</f>
        <v/>
      </c>
      <c r="L149" s="17">
        <v>40000</v>
      </c>
      <c r="M149" s="6" t="s">
        <v>748</v>
      </c>
      <c r="N149" s="18" t="str">
        <f>IFERROR(VLOOKUP(B149,#REF!,13,FALSE),"")</f>
        <v/>
      </c>
      <c r="O149" s="19" t="str">
        <f>IFERROR(VLOOKUP(B149,#REF!,14,FALSE),"")</f>
        <v/>
      </c>
      <c r="P149" s="19" t="str">
        <f>IFERROR(VLOOKUP(B149,#REF!,15,FALSE),"")</f>
        <v/>
      </c>
      <c r="Q149" s="19"/>
      <c r="R149" s="25" t="str">
        <f>IFERROR(VLOOKUP(B149,#REF!,16,FALSE),"")</f>
        <v/>
      </c>
      <c r="S149" s="17">
        <v>0</v>
      </c>
      <c r="T149" s="17">
        <v>20000</v>
      </c>
      <c r="U149" s="17">
        <v>20000</v>
      </c>
      <c r="V149" s="17">
        <v>0</v>
      </c>
      <c r="W149" s="20">
        <v>135000</v>
      </c>
      <c r="X149" s="16">
        <v>216</v>
      </c>
      <c r="Y149" s="21">
        <v>85</v>
      </c>
      <c r="Z149" s="20">
        <v>625</v>
      </c>
      <c r="AA149" s="17">
        <v>1589</v>
      </c>
      <c r="AB149" s="22">
        <v>2.5</v>
      </c>
      <c r="AC149" s="23">
        <f t="shared" si="17"/>
        <v>150</v>
      </c>
      <c r="AD149" s="17">
        <v>3297</v>
      </c>
      <c r="AE149" s="17">
        <v>5000</v>
      </c>
      <c r="AF149" s="17">
        <v>6000</v>
      </c>
      <c r="AG149" s="17">
        <v>11000</v>
      </c>
      <c r="AH149" s="15" t="s">
        <v>42</v>
      </c>
    </row>
    <row r="150" spans="1:34">
      <c r="A150" s="13" t="str">
        <f t="shared" si="12"/>
        <v>OverStock</v>
      </c>
      <c r="B150" s="14" t="s">
        <v>169</v>
      </c>
      <c r="C150" s="15" t="s">
        <v>46</v>
      </c>
      <c r="D150" s="19">
        <f t="shared" si="13"/>
        <v>13.6</v>
      </c>
      <c r="E150" s="16" t="str">
        <f t="shared" si="14"/>
        <v>--</v>
      </c>
      <c r="F150" s="16">
        <f t="shared" si="15"/>
        <v>21.9</v>
      </c>
      <c r="G150" s="16" t="str">
        <f t="shared" si="16"/>
        <v>--</v>
      </c>
      <c r="H150" s="24" t="str">
        <f>IFERROR(VLOOKUP(B150,#REF!,8,FALSE),"")</f>
        <v/>
      </c>
      <c r="I150" s="17">
        <v>5000</v>
      </c>
      <c r="J150" s="17">
        <v>5000</v>
      </c>
      <c r="K150" s="24" t="str">
        <f>IFERROR(VLOOKUP(B150,#REF!,11,FALSE),"")</f>
        <v/>
      </c>
      <c r="L150" s="17">
        <v>3090</v>
      </c>
      <c r="M150" s="6" t="s">
        <v>745</v>
      </c>
      <c r="N150" s="18" t="str">
        <f>IFERROR(VLOOKUP(B150,#REF!,13,FALSE),"")</f>
        <v/>
      </c>
      <c r="O150" s="19" t="str">
        <f>IFERROR(VLOOKUP(B150,#REF!,14,FALSE),"")</f>
        <v/>
      </c>
      <c r="P150" s="19" t="str">
        <f>IFERROR(VLOOKUP(B150,#REF!,15,FALSE),"")</f>
        <v/>
      </c>
      <c r="Q150" s="19"/>
      <c r="R150" s="25" t="str">
        <f>IFERROR(VLOOKUP(B150,#REF!,16,FALSE),"")</f>
        <v/>
      </c>
      <c r="S150" s="17">
        <v>0</v>
      </c>
      <c r="T150" s="17">
        <v>3090</v>
      </c>
      <c r="U150" s="17">
        <v>0</v>
      </c>
      <c r="V150" s="17">
        <v>0</v>
      </c>
      <c r="W150" s="20">
        <v>8090</v>
      </c>
      <c r="X150" s="16">
        <v>35.5</v>
      </c>
      <c r="Y150" s="21" t="s">
        <v>40</v>
      </c>
      <c r="Z150" s="20">
        <v>228</v>
      </c>
      <c r="AA150" s="17" t="s">
        <v>40</v>
      </c>
      <c r="AB150" s="22" t="s">
        <v>41</v>
      </c>
      <c r="AC150" s="23" t="str">
        <f t="shared" si="17"/>
        <v>E</v>
      </c>
      <c r="AD150" s="17">
        <v>0</v>
      </c>
      <c r="AE150" s="17">
        <v>0</v>
      </c>
      <c r="AF150" s="17">
        <v>0</v>
      </c>
      <c r="AG150" s="17">
        <v>0</v>
      </c>
      <c r="AH150" s="15" t="s">
        <v>42</v>
      </c>
    </row>
    <row r="151" spans="1:34">
      <c r="A151" s="13" t="str">
        <f t="shared" si="12"/>
        <v>ZeroZero</v>
      </c>
      <c r="B151" s="14" t="s">
        <v>726</v>
      </c>
      <c r="C151" s="15" t="s">
        <v>709</v>
      </c>
      <c r="D151" s="19" t="str">
        <f t="shared" si="13"/>
        <v>前八週無拉料</v>
      </c>
      <c r="E151" s="16" t="str">
        <f t="shared" si="14"/>
        <v>--</v>
      </c>
      <c r="F151" s="16" t="str">
        <f t="shared" si="15"/>
        <v>--</v>
      </c>
      <c r="G151" s="16" t="str">
        <f t="shared" si="16"/>
        <v>--</v>
      </c>
      <c r="H151" s="24" t="str">
        <f>IFERROR(VLOOKUP(B151,#REF!,8,FALSE),"")</f>
        <v/>
      </c>
      <c r="I151" s="17">
        <v>0</v>
      </c>
      <c r="J151" s="17">
        <v>0</v>
      </c>
      <c r="K151" s="24" t="str">
        <f>IFERROR(VLOOKUP(B151,#REF!,11,FALSE),"")</f>
        <v/>
      </c>
      <c r="L151" s="17">
        <v>5000</v>
      </c>
      <c r="M151" s="6" t="s">
        <v>748</v>
      </c>
      <c r="N151" s="18" t="str">
        <f>IFERROR(VLOOKUP(B151,#REF!,13,FALSE),"")</f>
        <v/>
      </c>
      <c r="O151" s="19" t="str">
        <f>IFERROR(VLOOKUP(B151,#REF!,14,FALSE),"")</f>
        <v/>
      </c>
      <c r="P151" s="19" t="str">
        <f>IFERROR(VLOOKUP(B151,#REF!,15,FALSE),"")</f>
        <v/>
      </c>
      <c r="Q151" s="19"/>
      <c r="R151" s="25" t="str">
        <f>IFERROR(VLOOKUP(B151,#REF!,16,FALSE),"")</f>
        <v/>
      </c>
      <c r="S151" s="17">
        <v>0</v>
      </c>
      <c r="T151" s="17">
        <v>5000</v>
      </c>
      <c r="U151" s="17">
        <v>0</v>
      </c>
      <c r="V151" s="17">
        <v>0</v>
      </c>
      <c r="W151" s="20">
        <v>5000</v>
      </c>
      <c r="X151" s="16" t="s">
        <v>40</v>
      </c>
      <c r="Y151" s="21" t="s">
        <v>40</v>
      </c>
      <c r="Z151" s="20">
        <v>0</v>
      </c>
      <c r="AA151" s="17" t="s">
        <v>40</v>
      </c>
      <c r="AB151" s="22" t="s">
        <v>41</v>
      </c>
      <c r="AC151" s="23" t="str">
        <f t="shared" si="17"/>
        <v>E</v>
      </c>
      <c r="AD151" s="17">
        <v>0</v>
      </c>
      <c r="AE151" s="17">
        <v>0</v>
      </c>
      <c r="AF151" s="17">
        <v>0</v>
      </c>
      <c r="AG151" s="17">
        <v>0</v>
      </c>
      <c r="AH151" s="15" t="s">
        <v>42</v>
      </c>
    </row>
    <row r="152" spans="1:34">
      <c r="A152" s="13" t="str">
        <f t="shared" si="12"/>
        <v>ZeroZero</v>
      </c>
      <c r="B152" s="14" t="s">
        <v>127</v>
      </c>
      <c r="C152" s="15" t="s">
        <v>46</v>
      </c>
      <c r="D152" s="19" t="str">
        <f t="shared" si="13"/>
        <v>前八週無拉料</v>
      </c>
      <c r="E152" s="16" t="str">
        <f t="shared" si="14"/>
        <v>--</v>
      </c>
      <c r="F152" s="16" t="str">
        <f t="shared" si="15"/>
        <v>--</v>
      </c>
      <c r="G152" s="16" t="str">
        <f t="shared" si="16"/>
        <v>--</v>
      </c>
      <c r="H152" s="24" t="str">
        <f>IFERROR(VLOOKUP(B152,#REF!,8,FALSE),"")</f>
        <v/>
      </c>
      <c r="I152" s="17">
        <v>0</v>
      </c>
      <c r="J152" s="17">
        <v>0</v>
      </c>
      <c r="K152" s="24" t="str">
        <f>IFERROR(VLOOKUP(B152,#REF!,11,FALSE),"")</f>
        <v/>
      </c>
      <c r="L152" s="17">
        <v>5000</v>
      </c>
      <c r="M152" s="6" t="s">
        <v>745</v>
      </c>
      <c r="N152" s="18" t="str">
        <f>IFERROR(VLOOKUP(B152,#REF!,13,FALSE),"")</f>
        <v/>
      </c>
      <c r="O152" s="19" t="str">
        <f>IFERROR(VLOOKUP(B152,#REF!,14,FALSE),"")</f>
        <v/>
      </c>
      <c r="P152" s="19" t="str">
        <f>IFERROR(VLOOKUP(B152,#REF!,15,FALSE),"")</f>
        <v/>
      </c>
      <c r="Q152" s="19"/>
      <c r="R152" s="25" t="str">
        <f>IFERROR(VLOOKUP(B152,#REF!,16,FALSE),"")</f>
        <v/>
      </c>
      <c r="S152" s="17">
        <v>0</v>
      </c>
      <c r="T152" s="17">
        <v>5000</v>
      </c>
      <c r="U152" s="17">
        <v>0</v>
      </c>
      <c r="V152" s="17">
        <v>0</v>
      </c>
      <c r="W152" s="20">
        <v>5000</v>
      </c>
      <c r="X152" s="16" t="s">
        <v>40</v>
      </c>
      <c r="Y152" s="21" t="s">
        <v>40</v>
      </c>
      <c r="Z152" s="20">
        <v>0</v>
      </c>
      <c r="AA152" s="17" t="s">
        <v>40</v>
      </c>
      <c r="AB152" s="22" t="s">
        <v>41</v>
      </c>
      <c r="AC152" s="23" t="str">
        <f t="shared" si="17"/>
        <v>E</v>
      </c>
      <c r="AD152" s="17">
        <v>0</v>
      </c>
      <c r="AE152" s="17">
        <v>0</v>
      </c>
      <c r="AF152" s="17">
        <v>0</v>
      </c>
      <c r="AG152" s="17">
        <v>0</v>
      </c>
      <c r="AH152" s="15" t="s">
        <v>42</v>
      </c>
    </row>
    <row r="153" spans="1:34">
      <c r="A153" s="13" t="str">
        <f t="shared" si="12"/>
        <v>ZeroZero</v>
      </c>
      <c r="B153" s="14" t="s">
        <v>656</v>
      </c>
      <c r="C153" s="15" t="s">
        <v>277</v>
      </c>
      <c r="D153" s="19" t="str">
        <f t="shared" si="13"/>
        <v>前八週無拉料</v>
      </c>
      <c r="E153" s="16" t="str">
        <f t="shared" si="14"/>
        <v>--</v>
      </c>
      <c r="F153" s="16" t="str">
        <f t="shared" si="15"/>
        <v>--</v>
      </c>
      <c r="G153" s="16" t="str">
        <f t="shared" si="16"/>
        <v>--</v>
      </c>
      <c r="H153" s="24" t="str">
        <f>IFERROR(VLOOKUP(B153,#REF!,8,FALSE),"")</f>
        <v/>
      </c>
      <c r="I153" s="17">
        <v>0</v>
      </c>
      <c r="J153" s="17">
        <v>0</v>
      </c>
      <c r="K153" s="24" t="str">
        <f>IFERROR(VLOOKUP(B153,#REF!,11,FALSE),"")</f>
        <v/>
      </c>
      <c r="L153" s="17">
        <v>6000</v>
      </c>
      <c r="M153" s="6" t="s">
        <v>752</v>
      </c>
      <c r="N153" s="18" t="str">
        <f>IFERROR(VLOOKUP(B153,#REF!,13,FALSE),"")</f>
        <v/>
      </c>
      <c r="O153" s="19" t="str">
        <f>IFERROR(VLOOKUP(B153,#REF!,14,FALSE),"")</f>
        <v/>
      </c>
      <c r="P153" s="19" t="str">
        <f>IFERROR(VLOOKUP(B153,#REF!,15,FALSE),"")</f>
        <v/>
      </c>
      <c r="Q153" s="19"/>
      <c r="R153" s="25" t="str">
        <f>IFERROR(VLOOKUP(B153,#REF!,16,FALSE),"")</f>
        <v/>
      </c>
      <c r="S153" s="17">
        <v>0</v>
      </c>
      <c r="T153" s="17">
        <v>6000</v>
      </c>
      <c r="U153" s="17">
        <v>0</v>
      </c>
      <c r="V153" s="17">
        <v>0</v>
      </c>
      <c r="W153" s="20">
        <v>6000</v>
      </c>
      <c r="X153" s="16" t="s">
        <v>40</v>
      </c>
      <c r="Y153" s="21" t="s">
        <v>40</v>
      </c>
      <c r="Z153" s="20">
        <v>0</v>
      </c>
      <c r="AA153" s="17" t="s">
        <v>40</v>
      </c>
      <c r="AB153" s="22" t="s">
        <v>41</v>
      </c>
      <c r="AC153" s="23" t="str">
        <f t="shared" si="17"/>
        <v>E</v>
      </c>
      <c r="AD153" s="17">
        <v>0</v>
      </c>
      <c r="AE153" s="17">
        <v>0</v>
      </c>
      <c r="AF153" s="17">
        <v>0</v>
      </c>
      <c r="AG153" s="17">
        <v>0</v>
      </c>
      <c r="AH153" s="15" t="s">
        <v>42</v>
      </c>
    </row>
    <row r="154" spans="1:34">
      <c r="A154" s="13" t="str">
        <f t="shared" si="12"/>
        <v>ZeroZero</v>
      </c>
      <c r="B154" s="14" t="s">
        <v>302</v>
      </c>
      <c r="C154" s="15" t="s">
        <v>280</v>
      </c>
      <c r="D154" s="19" t="str">
        <f t="shared" si="13"/>
        <v>前八週無拉料</v>
      </c>
      <c r="E154" s="16" t="str">
        <f t="shared" si="14"/>
        <v>--</v>
      </c>
      <c r="F154" s="16" t="str">
        <f t="shared" si="15"/>
        <v>--</v>
      </c>
      <c r="G154" s="16" t="str">
        <f t="shared" si="16"/>
        <v>--</v>
      </c>
      <c r="H154" s="24" t="str">
        <f>IFERROR(VLOOKUP(B154,#REF!,8,FALSE),"")</f>
        <v/>
      </c>
      <c r="I154" s="17">
        <v>81000</v>
      </c>
      <c r="J154" s="17">
        <v>39000</v>
      </c>
      <c r="K154" s="24" t="str">
        <f>IFERROR(VLOOKUP(B154,#REF!,11,FALSE),"")</f>
        <v/>
      </c>
      <c r="L154" s="17">
        <v>78000</v>
      </c>
      <c r="M154" s="6" t="s">
        <v>748</v>
      </c>
      <c r="N154" s="18" t="str">
        <f>IFERROR(VLOOKUP(B154,#REF!,13,FALSE),"")</f>
        <v/>
      </c>
      <c r="O154" s="19" t="str">
        <f>IFERROR(VLOOKUP(B154,#REF!,14,FALSE),"")</f>
        <v/>
      </c>
      <c r="P154" s="19" t="str">
        <f>IFERROR(VLOOKUP(B154,#REF!,15,FALSE),"")</f>
        <v/>
      </c>
      <c r="Q154" s="19"/>
      <c r="R154" s="25" t="str">
        <f>IFERROR(VLOOKUP(B154,#REF!,16,FALSE),"")</f>
        <v/>
      </c>
      <c r="S154" s="17">
        <v>0</v>
      </c>
      <c r="T154" s="17">
        <v>78000</v>
      </c>
      <c r="U154" s="17">
        <v>0</v>
      </c>
      <c r="V154" s="17">
        <v>0</v>
      </c>
      <c r="W154" s="20">
        <v>159000</v>
      </c>
      <c r="X154" s="16" t="s">
        <v>40</v>
      </c>
      <c r="Y154" s="21" t="s">
        <v>40</v>
      </c>
      <c r="Z154" s="20">
        <v>0</v>
      </c>
      <c r="AA154" s="17" t="s">
        <v>40</v>
      </c>
      <c r="AB154" s="22" t="s">
        <v>41</v>
      </c>
      <c r="AC154" s="23" t="str">
        <f t="shared" si="17"/>
        <v>E</v>
      </c>
      <c r="AD154" s="17">
        <v>0</v>
      </c>
      <c r="AE154" s="17">
        <v>0</v>
      </c>
      <c r="AF154" s="17">
        <v>0</v>
      </c>
      <c r="AG154" s="17">
        <v>0</v>
      </c>
      <c r="AH154" s="15" t="s">
        <v>42</v>
      </c>
    </row>
    <row r="155" spans="1:34">
      <c r="A155" s="13" t="str">
        <f t="shared" si="12"/>
        <v>OverStock</v>
      </c>
      <c r="B155" s="14" t="s">
        <v>404</v>
      </c>
      <c r="C155" s="15" t="s">
        <v>280</v>
      </c>
      <c r="D155" s="19">
        <f t="shared" si="13"/>
        <v>32</v>
      </c>
      <c r="E155" s="16" t="str">
        <f t="shared" si="14"/>
        <v>--</v>
      </c>
      <c r="F155" s="16">
        <f t="shared" si="15"/>
        <v>16</v>
      </c>
      <c r="G155" s="16" t="str">
        <f t="shared" si="16"/>
        <v>--</v>
      </c>
      <c r="H155" s="24" t="str">
        <f>IFERROR(VLOOKUP(B155,#REF!,8,FALSE),"")</f>
        <v/>
      </c>
      <c r="I155" s="17">
        <v>12000</v>
      </c>
      <c r="J155" s="17">
        <v>12000</v>
      </c>
      <c r="K155" s="24" t="str">
        <f>IFERROR(VLOOKUP(B155,#REF!,11,FALSE),"")</f>
        <v/>
      </c>
      <c r="L155" s="17">
        <v>24000</v>
      </c>
      <c r="M155" s="6" t="s">
        <v>752</v>
      </c>
      <c r="N155" s="18" t="str">
        <f>IFERROR(VLOOKUP(B155,#REF!,13,FALSE),"")</f>
        <v/>
      </c>
      <c r="O155" s="19" t="str">
        <f>IFERROR(VLOOKUP(B155,#REF!,14,FALSE),"")</f>
        <v/>
      </c>
      <c r="P155" s="19" t="str">
        <f>IFERROR(VLOOKUP(B155,#REF!,15,FALSE),"")</f>
        <v/>
      </c>
      <c r="Q155" s="19"/>
      <c r="R155" s="25" t="str">
        <f>IFERROR(VLOOKUP(B155,#REF!,16,FALSE),"")</f>
        <v/>
      </c>
      <c r="S155" s="17">
        <v>0</v>
      </c>
      <c r="T155" s="17">
        <v>24000</v>
      </c>
      <c r="U155" s="17">
        <v>0</v>
      </c>
      <c r="V155" s="17">
        <v>0</v>
      </c>
      <c r="W155" s="20">
        <v>36000</v>
      </c>
      <c r="X155" s="16">
        <v>48</v>
      </c>
      <c r="Y155" s="21" t="s">
        <v>40</v>
      </c>
      <c r="Z155" s="20">
        <v>750</v>
      </c>
      <c r="AA155" s="17" t="s">
        <v>40</v>
      </c>
      <c r="AB155" s="22" t="s">
        <v>41</v>
      </c>
      <c r="AC155" s="23" t="str">
        <f t="shared" si="17"/>
        <v>E</v>
      </c>
      <c r="AD155" s="17">
        <v>0</v>
      </c>
      <c r="AE155" s="17">
        <v>0</v>
      </c>
      <c r="AF155" s="17">
        <v>0</v>
      </c>
      <c r="AG155" s="17">
        <v>0</v>
      </c>
      <c r="AH155" s="15" t="s">
        <v>42</v>
      </c>
    </row>
    <row r="156" spans="1:34">
      <c r="A156" s="13" t="str">
        <f t="shared" si="12"/>
        <v>ZeroZero</v>
      </c>
      <c r="B156" s="14" t="s">
        <v>419</v>
      </c>
      <c r="C156" s="15" t="s">
        <v>280</v>
      </c>
      <c r="D156" s="19" t="str">
        <f t="shared" si="13"/>
        <v>前八週無拉料</v>
      </c>
      <c r="E156" s="16" t="str">
        <f t="shared" si="14"/>
        <v>--</v>
      </c>
      <c r="F156" s="16" t="str">
        <f t="shared" si="15"/>
        <v>--</v>
      </c>
      <c r="G156" s="16" t="str">
        <f t="shared" si="16"/>
        <v>--</v>
      </c>
      <c r="H156" s="24" t="str">
        <f>IFERROR(VLOOKUP(B156,#REF!,8,FALSE),"")</f>
        <v/>
      </c>
      <c r="I156" s="17">
        <v>15000</v>
      </c>
      <c r="J156" s="17">
        <v>15000</v>
      </c>
      <c r="K156" s="24" t="str">
        <f>IFERROR(VLOOKUP(B156,#REF!,11,FALSE),"")</f>
        <v/>
      </c>
      <c r="L156" s="17">
        <v>15000</v>
      </c>
      <c r="M156" s="6" t="s">
        <v>748</v>
      </c>
      <c r="N156" s="18" t="str">
        <f>IFERROR(VLOOKUP(B156,#REF!,13,FALSE),"")</f>
        <v/>
      </c>
      <c r="O156" s="19" t="str">
        <f>IFERROR(VLOOKUP(B156,#REF!,14,FALSE),"")</f>
        <v/>
      </c>
      <c r="P156" s="19" t="str">
        <f>IFERROR(VLOOKUP(B156,#REF!,15,FALSE),"")</f>
        <v/>
      </c>
      <c r="Q156" s="19"/>
      <c r="R156" s="25" t="str">
        <f>IFERROR(VLOOKUP(B156,#REF!,16,FALSE),"")</f>
        <v/>
      </c>
      <c r="S156" s="17">
        <v>6000</v>
      </c>
      <c r="T156" s="17">
        <v>9000</v>
      </c>
      <c r="U156" s="17">
        <v>0</v>
      </c>
      <c r="V156" s="17">
        <v>0</v>
      </c>
      <c r="W156" s="20">
        <v>30000</v>
      </c>
      <c r="X156" s="16" t="s">
        <v>40</v>
      </c>
      <c r="Y156" s="21" t="s">
        <v>40</v>
      </c>
      <c r="Z156" s="20">
        <v>0</v>
      </c>
      <c r="AA156" s="17" t="s">
        <v>40</v>
      </c>
      <c r="AB156" s="22" t="s">
        <v>41</v>
      </c>
      <c r="AC156" s="23" t="str">
        <f t="shared" si="17"/>
        <v>E</v>
      </c>
      <c r="AD156" s="17">
        <v>0</v>
      </c>
      <c r="AE156" s="17">
        <v>0</v>
      </c>
      <c r="AF156" s="17">
        <v>0</v>
      </c>
      <c r="AG156" s="17">
        <v>0</v>
      </c>
      <c r="AH156" s="15" t="s">
        <v>42</v>
      </c>
    </row>
    <row r="157" spans="1:34">
      <c r="A157" s="13" t="str">
        <f t="shared" si="12"/>
        <v>OverStock</v>
      </c>
      <c r="B157" s="14" t="s">
        <v>562</v>
      </c>
      <c r="C157" s="15" t="s">
        <v>555</v>
      </c>
      <c r="D157" s="19">
        <f t="shared" si="13"/>
        <v>14.7</v>
      </c>
      <c r="E157" s="16">
        <f t="shared" si="14"/>
        <v>19.8</v>
      </c>
      <c r="F157" s="16">
        <f t="shared" si="15"/>
        <v>12</v>
      </c>
      <c r="G157" s="16">
        <f t="shared" si="16"/>
        <v>16.2</v>
      </c>
      <c r="H157" s="24" t="str">
        <f>IFERROR(VLOOKUP(B157,#REF!,8,FALSE),"")</f>
        <v/>
      </c>
      <c r="I157" s="17">
        <v>27000</v>
      </c>
      <c r="J157" s="17">
        <v>27000</v>
      </c>
      <c r="K157" s="24" t="str">
        <f>IFERROR(VLOOKUP(B157,#REF!,11,FALSE),"")</f>
        <v/>
      </c>
      <c r="L157" s="17">
        <v>33000</v>
      </c>
      <c r="M157" s="6" t="s">
        <v>752</v>
      </c>
      <c r="N157" s="18" t="str">
        <f>IFERROR(VLOOKUP(B157,#REF!,13,FALSE),"")</f>
        <v/>
      </c>
      <c r="O157" s="19" t="str">
        <f>IFERROR(VLOOKUP(B157,#REF!,14,FALSE),"")</f>
        <v/>
      </c>
      <c r="P157" s="19" t="str">
        <f>IFERROR(VLOOKUP(B157,#REF!,15,FALSE),"")</f>
        <v/>
      </c>
      <c r="Q157" s="19"/>
      <c r="R157" s="25" t="str">
        <f>IFERROR(VLOOKUP(B157,#REF!,16,FALSE),"")</f>
        <v/>
      </c>
      <c r="S157" s="17">
        <v>0</v>
      </c>
      <c r="T157" s="17">
        <v>33000</v>
      </c>
      <c r="U157" s="17">
        <v>0</v>
      </c>
      <c r="V157" s="17">
        <v>0</v>
      </c>
      <c r="W157" s="20">
        <v>60000</v>
      </c>
      <c r="X157" s="16">
        <v>26.7</v>
      </c>
      <c r="Y157" s="21">
        <v>36</v>
      </c>
      <c r="Z157" s="20">
        <v>2250</v>
      </c>
      <c r="AA157" s="17">
        <v>1667</v>
      </c>
      <c r="AB157" s="22">
        <v>0.7</v>
      </c>
      <c r="AC157" s="23">
        <f t="shared" si="17"/>
        <v>100</v>
      </c>
      <c r="AD157" s="17">
        <v>3000</v>
      </c>
      <c r="AE157" s="17">
        <v>12000</v>
      </c>
      <c r="AF157" s="17">
        <v>6000</v>
      </c>
      <c r="AG157" s="17">
        <v>0</v>
      </c>
      <c r="AH157" s="15" t="s">
        <v>42</v>
      </c>
    </row>
    <row r="158" spans="1:34">
      <c r="A158" s="13" t="str">
        <f t="shared" si="12"/>
        <v>ZeroZero</v>
      </c>
      <c r="B158" s="14" t="s">
        <v>392</v>
      </c>
      <c r="C158" s="15" t="s">
        <v>280</v>
      </c>
      <c r="D158" s="19" t="str">
        <f t="shared" si="13"/>
        <v>前八週無拉料</v>
      </c>
      <c r="E158" s="16" t="str">
        <f t="shared" si="14"/>
        <v>--</v>
      </c>
      <c r="F158" s="16" t="str">
        <f t="shared" si="15"/>
        <v>--</v>
      </c>
      <c r="G158" s="16" t="str">
        <f t="shared" si="16"/>
        <v>--</v>
      </c>
      <c r="H158" s="24" t="str">
        <f>IFERROR(VLOOKUP(B158,#REF!,8,FALSE),"")</f>
        <v/>
      </c>
      <c r="I158" s="17">
        <v>0</v>
      </c>
      <c r="J158" s="17">
        <v>0</v>
      </c>
      <c r="K158" s="24" t="str">
        <f>IFERROR(VLOOKUP(B158,#REF!,11,FALSE),"")</f>
        <v/>
      </c>
      <c r="L158" s="17">
        <v>24500</v>
      </c>
      <c r="M158" s="6" t="s">
        <v>762</v>
      </c>
      <c r="N158" s="18" t="str">
        <f>IFERROR(VLOOKUP(B158,#REF!,13,FALSE),"")</f>
        <v/>
      </c>
      <c r="O158" s="19" t="str">
        <f>IFERROR(VLOOKUP(B158,#REF!,14,FALSE),"")</f>
        <v/>
      </c>
      <c r="P158" s="19" t="str">
        <f>IFERROR(VLOOKUP(B158,#REF!,15,FALSE),"")</f>
        <v/>
      </c>
      <c r="Q158" s="19"/>
      <c r="R158" s="25" t="str">
        <f>IFERROR(VLOOKUP(B158,#REF!,16,FALSE),"")</f>
        <v/>
      </c>
      <c r="S158" s="17">
        <v>0</v>
      </c>
      <c r="T158" s="17">
        <v>21000</v>
      </c>
      <c r="U158" s="17">
        <v>3500</v>
      </c>
      <c r="V158" s="17">
        <v>0</v>
      </c>
      <c r="W158" s="20">
        <v>24500</v>
      </c>
      <c r="X158" s="16" t="s">
        <v>40</v>
      </c>
      <c r="Y158" s="21" t="s">
        <v>40</v>
      </c>
      <c r="Z158" s="20">
        <v>0</v>
      </c>
      <c r="AA158" s="17" t="s">
        <v>40</v>
      </c>
      <c r="AB158" s="22" t="s">
        <v>41</v>
      </c>
      <c r="AC158" s="23" t="str">
        <f t="shared" si="17"/>
        <v>E</v>
      </c>
      <c r="AD158" s="17">
        <v>0</v>
      </c>
      <c r="AE158" s="17">
        <v>0</v>
      </c>
      <c r="AF158" s="17">
        <v>0</v>
      </c>
      <c r="AG158" s="17">
        <v>0</v>
      </c>
      <c r="AH158" s="15" t="s">
        <v>42</v>
      </c>
    </row>
    <row r="159" spans="1:34">
      <c r="A159" s="13" t="str">
        <f t="shared" si="12"/>
        <v>ZeroZero</v>
      </c>
      <c r="B159" s="14" t="s">
        <v>263</v>
      </c>
      <c r="C159" s="15" t="s">
        <v>255</v>
      </c>
      <c r="D159" s="19" t="str">
        <f t="shared" si="13"/>
        <v>前八週無拉料</v>
      </c>
      <c r="E159" s="16" t="str">
        <f t="shared" si="14"/>
        <v>--</v>
      </c>
      <c r="F159" s="16" t="str">
        <f t="shared" si="15"/>
        <v>--</v>
      </c>
      <c r="G159" s="16" t="str">
        <f t="shared" si="16"/>
        <v>--</v>
      </c>
      <c r="H159" s="24" t="str">
        <f>IFERROR(VLOOKUP(B159,#REF!,8,FALSE),"")</f>
        <v/>
      </c>
      <c r="I159" s="17">
        <v>0</v>
      </c>
      <c r="J159" s="17">
        <v>0</v>
      </c>
      <c r="K159" s="24" t="str">
        <f>IFERROR(VLOOKUP(B159,#REF!,11,FALSE),"")</f>
        <v/>
      </c>
      <c r="L159" s="17">
        <v>12000</v>
      </c>
      <c r="M159" s="6" t="s">
        <v>743</v>
      </c>
      <c r="N159" s="18" t="str">
        <f>IFERROR(VLOOKUP(B159,#REF!,13,FALSE),"")</f>
        <v/>
      </c>
      <c r="O159" s="19" t="str">
        <f>IFERROR(VLOOKUP(B159,#REF!,14,FALSE),"")</f>
        <v/>
      </c>
      <c r="P159" s="19" t="str">
        <f>IFERROR(VLOOKUP(B159,#REF!,15,FALSE),"")</f>
        <v/>
      </c>
      <c r="Q159" s="19"/>
      <c r="R159" s="25" t="str">
        <f>IFERROR(VLOOKUP(B159,#REF!,16,FALSE),"")</f>
        <v/>
      </c>
      <c r="S159" s="17">
        <v>0</v>
      </c>
      <c r="T159" s="17">
        <v>12000</v>
      </c>
      <c r="U159" s="17">
        <v>0</v>
      </c>
      <c r="V159" s="17">
        <v>0</v>
      </c>
      <c r="W159" s="20">
        <v>12000</v>
      </c>
      <c r="X159" s="16" t="s">
        <v>40</v>
      </c>
      <c r="Y159" s="21" t="s">
        <v>40</v>
      </c>
      <c r="Z159" s="20">
        <v>0</v>
      </c>
      <c r="AA159" s="17" t="s">
        <v>40</v>
      </c>
      <c r="AB159" s="22" t="s">
        <v>41</v>
      </c>
      <c r="AC159" s="23" t="str">
        <f t="shared" si="17"/>
        <v>E</v>
      </c>
      <c r="AD159" s="17">
        <v>0</v>
      </c>
      <c r="AE159" s="17">
        <v>0</v>
      </c>
      <c r="AF159" s="17">
        <v>0</v>
      </c>
      <c r="AG159" s="17">
        <v>0</v>
      </c>
      <c r="AH159" s="15" t="s">
        <v>42</v>
      </c>
    </row>
    <row r="160" spans="1:34">
      <c r="A160" s="13" t="str">
        <f t="shared" si="12"/>
        <v>OverStock</v>
      </c>
      <c r="B160" s="14" t="s">
        <v>152</v>
      </c>
      <c r="C160" s="15" t="s">
        <v>46</v>
      </c>
      <c r="D160" s="19">
        <f t="shared" si="13"/>
        <v>16</v>
      </c>
      <c r="E160" s="16">
        <f t="shared" si="14"/>
        <v>9</v>
      </c>
      <c r="F160" s="16">
        <f t="shared" si="15"/>
        <v>16</v>
      </c>
      <c r="G160" s="16">
        <f t="shared" si="16"/>
        <v>9</v>
      </c>
      <c r="H160" s="24" t="str">
        <f>IFERROR(VLOOKUP(B160,#REF!,8,FALSE),"")</f>
        <v/>
      </c>
      <c r="I160" s="17">
        <v>10000</v>
      </c>
      <c r="J160" s="17">
        <v>10000</v>
      </c>
      <c r="K160" s="24" t="str">
        <f>IFERROR(VLOOKUP(B160,#REF!,11,FALSE),"")</f>
        <v/>
      </c>
      <c r="L160" s="17">
        <v>10000</v>
      </c>
      <c r="M160" s="6" t="s">
        <v>745</v>
      </c>
      <c r="N160" s="18" t="str">
        <f>IFERROR(VLOOKUP(B160,#REF!,13,FALSE),"")</f>
        <v/>
      </c>
      <c r="O160" s="19" t="str">
        <f>IFERROR(VLOOKUP(B160,#REF!,14,FALSE),"")</f>
        <v/>
      </c>
      <c r="P160" s="19" t="str">
        <f>IFERROR(VLOOKUP(B160,#REF!,15,FALSE),"")</f>
        <v/>
      </c>
      <c r="Q160" s="19"/>
      <c r="R160" s="25" t="str">
        <f>IFERROR(VLOOKUP(B160,#REF!,16,FALSE),"")</f>
        <v/>
      </c>
      <c r="S160" s="17">
        <v>0</v>
      </c>
      <c r="T160" s="17">
        <v>10000</v>
      </c>
      <c r="U160" s="17">
        <v>0</v>
      </c>
      <c r="V160" s="17">
        <v>0</v>
      </c>
      <c r="W160" s="20">
        <v>20000</v>
      </c>
      <c r="X160" s="16">
        <v>32</v>
      </c>
      <c r="Y160" s="21">
        <v>18</v>
      </c>
      <c r="Z160" s="20">
        <v>625</v>
      </c>
      <c r="AA160" s="17">
        <v>1111</v>
      </c>
      <c r="AB160" s="22">
        <v>1.8</v>
      </c>
      <c r="AC160" s="23">
        <f t="shared" si="17"/>
        <v>100</v>
      </c>
      <c r="AD160" s="17">
        <v>0</v>
      </c>
      <c r="AE160" s="17">
        <v>5000</v>
      </c>
      <c r="AF160" s="17">
        <v>5000</v>
      </c>
      <c r="AG160" s="17">
        <v>0</v>
      </c>
      <c r="AH160" s="15" t="s">
        <v>42</v>
      </c>
    </row>
    <row r="161" spans="1:34">
      <c r="A161" s="13" t="str">
        <f t="shared" si="12"/>
        <v>ZeroZero</v>
      </c>
      <c r="B161" s="14" t="s">
        <v>233</v>
      </c>
      <c r="C161" s="15" t="s">
        <v>46</v>
      </c>
      <c r="D161" s="19" t="str">
        <f t="shared" si="13"/>
        <v>前八週無拉料</v>
      </c>
      <c r="E161" s="16" t="str">
        <f t="shared" si="14"/>
        <v>--</v>
      </c>
      <c r="F161" s="16" t="str">
        <f t="shared" si="15"/>
        <v>--</v>
      </c>
      <c r="G161" s="16" t="str">
        <f t="shared" si="16"/>
        <v>--</v>
      </c>
      <c r="H161" s="24" t="str">
        <f>IFERROR(VLOOKUP(B161,#REF!,8,FALSE),"")</f>
        <v/>
      </c>
      <c r="I161" s="17">
        <v>0</v>
      </c>
      <c r="J161" s="17">
        <v>0</v>
      </c>
      <c r="K161" s="24" t="str">
        <f>IFERROR(VLOOKUP(B161,#REF!,11,FALSE),"")</f>
        <v/>
      </c>
      <c r="L161" s="17">
        <v>5000</v>
      </c>
      <c r="M161" s="6" t="s">
        <v>745</v>
      </c>
      <c r="N161" s="18" t="str">
        <f>IFERROR(VLOOKUP(B161,#REF!,13,FALSE),"")</f>
        <v/>
      </c>
      <c r="O161" s="19" t="str">
        <f>IFERROR(VLOOKUP(B161,#REF!,14,FALSE),"")</f>
        <v/>
      </c>
      <c r="P161" s="19" t="str">
        <f>IFERROR(VLOOKUP(B161,#REF!,15,FALSE),"")</f>
        <v/>
      </c>
      <c r="Q161" s="19"/>
      <c r="R161" s="25" t="str">
        <f>IFERROR(VLOOKUP(B161,#REF!,16,FALSE),"")</f>
        <v/>
      </c>
      <c r="S161" s="17">
        <v>0</v>
      </c>
      <c r="T161" s="17">
        <v>5000</v>
      </c>
      <c r="U161" s="17">
        <v>0</v>
      </c>
      <c r="V161" s="17">
        <v>0</v>
      </c>
      <c r="W161" s="20">
        <v>5000</v>
      </c>
      <c r="X161" s="16" t="s">
        <v>40</v>
      </c>
      <c r="Y161" s="21" t="s">
        <v>40</v>
      </c>
      <c r="Z161" s="20">
        <v>0</v>
      </c>
      <c r="AA161" s="17" t="s">
        <v>40</v>
      </c>
      <c r="AB161" s="22" t="s">
        <v>41</v>
      </c>
      <c r="AC161" s="23" t="str">
        <f t="shared" si="17"/>
        <v>E</v>
      </c>
      <c r="AD161" s="17">
        <v>0</v>
      </c>
      <c r="AE161" s="17">
        <v>0</v>
      </c>
      <c r="AF161" s="17">
        <v>0</v>
      </c>
      <c r="AG161" s="17">
        <v>0</v>
      </c>
      <c r="AH161" s="15" t="s">
        <v>42</v>
      </c>
    </row>
    <row r="162" spans="1:34">
      <c r="A162" s="13" t="str">
        <f t="shared" si="12"/>
        <v>ZeroZero</v>
      </c>
      <c r="B162" s="14" t="s">
        <v>71</v>
      </c>
      <c r="C162" s="15" t="s">
        <v>46</v>
      </c>
      <c r="D162" s="19" t="str">
        <f t="shared" si="13"/>
        <v>前八週無拉料</v>
      </c>
      <c r="E162" s="16" t="str">
        <f t="shared" si="14"/>
        <v>--</v>
      </c>
      <c r="F162" s="16" t="str">
        <f t="shared" si="15"/>
        <v>--</v>
      </c>
      <c r="G162" s="16" t="str">
        <f t="shared" si="16"/>
        <v>--</v>
      </c>
      <c r="H162" s="24" t="str">
        <f>IFERROR(VLOOKUP(B162,#REF!,8,FALSE),"")</f>
        <v/>
      </c>
      <c r="I162" s="17">
        <v>0</v>
      </c>
      <c r="J162" s="17">
        <v>0</v>
      </c>
      <c r="K162" s="24" t="str">
        <f>IFERROR(VLOOKUP(B162,#REF!,11,FALSE),"")</f>
        <v/>
      </c>
      <c r="L162" s="17">
        <v>15000</v>
      </c>
      <c r="M162" s="6" t="s">
        <v>745</v>
      </c>
      <c r="N162" s="18" t="str">
        <f>IFERROR(VLOOKUP(B162,#REF!,13,FALSE),"")</f>
        <v/>
      </c>
      <c r="O162" s="19" t="str">
        <f>IFERROR(VLOOKUP(B162,#REF!,14,FALSE),"")</f>
        <v/>
      </c>
      <c r="P162" s="19" t="str">
        <f>IFERROR(VLOOKUP(B162,#REF!,15,FALSE),"")</f>
        <v/>
      </c>
      <c r="Q162" s="19"/>
      <c r="R162" s="25" t="str">
        <f>IFERROR(VLOOKUP(B162,#REF!,16,FALSE),"")</f>
        <v/>
      </c>
      <c r="S162" s="17">
        <v>0</v>
      </c>
      <c r="T162" s="17">
        <v>15000</v>
      </c>
      <c r="U162" s="17">
        <v>0</v>
      </c>
      <c r="V162" s="17">
        <v>0</v>
      </c>
      <c r="W162" s="20">
        <v>15000</v>
      </c>
      <c r="X162" s="16" t="s">
        <v>40</v>
      </c>
      <c r="Y162" s="21" t="s">
        <v>40</v>
      </c>
      <c r="Z162" s="20">
        <v>0</v>
      </c>
      <c r="AA162" s="17" t="s">
        <v>40</v>
      </c>
      <c r="AB162" s="22" t="s">
        <v>41</v>
      </c>
      <c r="AC162" s="23" t="str">
        <f t="shared" si="17"/>
        <v>E</v>
      </c>
      <c r="AD162" s="17">
        <v>0</v>
      </c>
      <c r="AE162" s="17">
        <v>0</v>
      </c>
      <c r="AF162" s="17">
        <v>0</v>
      </c>
      <c r="AG162" s="17">
        <v>0</v>
      </c>
      <c r="AH162" s="15" t="s">
        <v>42</v>
      </c>
    </row>
    <row r="163" spans="1:34">
      <c r="A163" s="13" t="str">
        <f t="shared" si="12"/>
        <v>OverStock</v>
      </c>
      <c r="B163" s="14" t="s">
        <v>334</v>
      </c>
      <c r="C163" s="15" t="s">
        <v>280</v>
      </c>
      <c r="D163" s="19">
        <f t="shared" si="13"/>
        <v>28</v>
      </c>
      <c r="E163" s="16">
        <f t="shared" si="14"/>
        <v>15.8</v>
      </c>
      <c r="F163" s="16">
        <f t="shared" si="15"/>
        <v>32</v>
      </c>
      <c r="G163" s="16">
        <f t="shared" si="16"/>
        <v>18</v>
      </c>
      <c r="H163" s="24" t="str">
        <f>IFERROR(VLOOKUP(B163,#REF!,8,FALSE),"")</f>
        <v/>
      </c>
      <c r="I163" s="17">
        <v>24000</v>
      </c>
      <c r="J163" s="17">
        <v>6000</v>
      </c>
      <c r="K163" s="24" t="str">
        <f>IFERROR(VLOOKUP(B163,#REF!,11,FALSE),"")</f>
        <v/>
      </c>
      <c r="L163" s="17">
        <v>21000</v>
      </c>
      <c r="M163" s="6" t="s">
        <v>753</v>
      </c>
      <c r="N163" s="18" t="str">
        <f>IFERROR(VLOOKUP(B163,#REF!,13,FALSE),"")</f>
        <v/>
      </c>
      <c r="O163" s="19" t="str">
        <f>IFERROR(VLOOKUP(B163,#REF!,14,FALSE),"")</f>
        <v/>
      </c>
      <c r="P163" s="19" t="str">
        <f>IFERROR(VLOOKUP(B163,#REF!,15,FALSE),"")</f>
        <v/>
      </c>
      <c r="Q163" s="19"/>
      <c r="R163" s="25" t="str">
        <f>IFERROR(VLOOKUP(B163,#REF!,16,FALSE),"")</f>
        <v/>
      </c>
      <c r="S163" s="17">
        <v>0</v>
      </c>
      <c r="T163" s="17">
        <v>21000</v>
      </c>
      <c r="U163" s="17">
        <v>0</v>
      </c>
      <c r="V163" s="17">
        <v>0</v>
      </c>
      <c r="W163" s="20">
        <v>45000</v>
      </c>
      <c r="X163" s="16">
        <v>60</v>
      </c>
      <c r="Y163" s="21">
        <v>33.799999999999997</v>
      </c>
      <c r="Z163" s="20">
        <v>750</v>
      </c>
      <c r="AA163" s="17">
        <v>1333</v>
      </c>
      <c r="AB163" s="22">
        <v>1.8</v>
      </c>
      <c r="AC163" s="23">
        <f t="shared" si="17"/>
        <v>100</v>
      </c>
      <c r="AD163" s="17">
        <v>3000</v>
      </c>
      <c r="AE163" s="17">
        <v>6000</v>
      </c>
      <c r="AF163" s="17">
        <v>3000</v>
      </c>
      <c r="AG163" s="17">
        <v>6000</v>
      </c>
      <c r="AH163" s="15" t="s">
        <v>42</v>
      </c>
    </row>
    <row r="164" spans="1:34">
      <c r="A164" s="13" t="str">
        <f t="shared" si="12"/>
        <v>OverStock</v>
      </c>
      <c r="B164" s="14" t="s">
        <v>359</v>
      </c>
      <c r="C164" s="15" t="s">
        <v>280</v>
      </c>
      <c r="D164" s="19">
        <f t="shared" si="13"/>
        <v>26.7</v>
      </c>
      <c r="E164" s="16">
        <f t="shared" si="14"/>
        <v>22.5</v>
      </c>
      <c r="F164" s="16">
        <f t="shared" si="15"/>
        <v>16</v>
      </c>
      <c r="G164" s="16">
        <f t="shared" si="16"/>
        <v>13.5</v>
      </c>
      <c r="H164" s="24" t="str">
        <f>IFERROR(VLOOKUP(B164,#REF!,8,FALSE),"")</f>
        <v/>
      </c>
      <c r="I164" s="17">
        <v>18000</v>
      </c>
      <c r="J164" s="17">
        <v>6000</v>
      </c>
      <c r="K164" s="24" t="str">
        <f>IFERROR(VLOOKUP(B164,#REF!,11,FALSE),"")</f>
        <v/>
      </c>
      <c r="L164" s="17">
        <v>30000</v>
      </c>
      <c r="M164" s="6" t="s">
        <v>758</v>
      </c>
      <c r="N164" s="18" t="str">
        <f>IFERROR(VLOOKUP(B164,#REF!,13,FALSE),"")</f>
        <v/>
      </c>
      <c r="O164" s="19" t="str">
        <f>IFERROR(VLOOKUP(B164,#REF!,14,FALSE),"")</f>
        <v/>
      </c>
      <c r="P164" s="19" t="str">
        <f>IFERROR(VLOOKUP(B164,#REF!,15,FALSE),"")</f>
        <v/>
      </c>
      <c r="Q164" s="19"/>
      <c r="R164" s="25" t="str">
        <f>IFERROR(VLOOKUP(B164,#REF!,16,FALSE),"")</f>
        <v/>
      </c>
      <c r="S164" s="17">
        <v>0</v>
      </c>
      <c r="T164" s="17">
        <v>30000</v>
      </c>
      <c r="U164" s="17">
        <v>0</v>
      </c>
      <c r="V164" s="17">
        <v>0</v>
      </c>
      <c r="W164" s="20">
        <v>48000</v>
      </c>
      <c r="X164" s="16">
        <v>42.7</v>
      </c>
      <c r="Y164" s="21">
        <v>36</v>
      </c>
      <c r="Z164" s="20">
        <v>1125</v>
      </c>
      <c r="AA164" s="17">
        <v>1333</v>
      </c>
      <c r="AB164" s="22">
        <v>1.2</v>
      </c>
      <c r="AC164" s="23">
        <f t="shared" si="17"/>
        <v>100</v>
      </c>
      <c r="AD164" s="17">
        <v>0</v>
      </c>
      <c r="AE164" s="17">
        <v>3000</v>
      </c>
      <c r="AF164" s="17">
        <v>9000</v>
      </c>
      <c r="AG164" s="17">
        <v>0</v>
      </c>
      <c r="AH164" s="15" t="s">
        <v>42</v>
      </c>
    </row>
    <row r="165" spans="1:34">
      <c r="A165" s="13" t="str">
        <f t="shared" si="12"/>
        <v>ZeroZero</v>
      </c>
      <c r="B165" s="14" t="s">
        <v>38</v>
      </c>
      <c r="C165" s="15" t="s">
        <v>39</v>
      </c>
      <c r="D165" s="19" t="str">
        <f t="shared" si="13"/>
        <v>前八週無拉料</v>
      </c>
      <c r="E165" s="16" t="str">
        <f t="shared" si="14"/>
        <v>--</v>
      </c>
      <c r="F165" s="16" t="str">
        <f t="shared" si="15"/>
        <v>--</v>
      </c>
      <c r="G165" s="16" t="str">
        <f t="shared" si="16"/>
        <v>--</v>
      </c>
      <c r="H165" s="24" t="str">
        <f>IFERROR(VLOOKUP(B165,#REF!,8,FALSE),"")</f>
        <v/>
      </c>
      <c r="I165" s="17">
        <v>0</v>
      </c>
      <c r="J165" s="17">
        <v>0</v>
      </c>
      <c r="K165" s="24" t="str">
        <f>IFERROR(VLOOKUP(B165,#REF!,11,FALSE),"")</f>
        <v/>
      </c>
      <c r="L165" s="17">
        <v>10000</v>
      </c>
      <c r="M165" s="6" t="s">
        <v>743</v>
      </c>
      <c r="N165" s="18" t="str">
        <f>IFERROR(VLOOKUP(B165,#REF!,13,FALSE),"")</f>
        <v/>
      </c>
      <c r="O165" s="19" t="str">
        <f>IFERROR(VLOOKUP(B165,#REF!,14,FALSE),"")</f>
        <v/>
      </c>
      <c r="P165" s="19" t="str">
        <f>IFERROR(VLOOKUP(B165,#REF!,15,FALSE),"")</f>
        <v/>
      </c>
      <c r="Q165" s="19"/>
      <c r="R165" s="25" t="str">
        <f>IFERROR(VLOOKUP(B165,#REF!,16,FALSE),"")</f>
        <v/>
      </c>
      <c r="S165" s="17">
        <v>0</v>
      </c>
      <c r="T165" s="17">
        <v>10000</v>
      </c>
      <c r="U165" s="17">
        <v>0</v>
      </c>
      <c r="V165" s="17">
        <v>0</v>
      </c>
      <c r="W165" s="20">
        <v>10000</v>
      </c>
      <c r="X165" s="16" t="s">
        <v>40</v>
      </c>
      <c r="Y165" s="21" t="s">
        <v>40</v>
      </c>
      <c r="Z165" s="20">
        <v>0</v>
      </c>
      <c r="AA165" s="17" t="s">
        <v>40</v>
      </c>
      <c r="AB165" s="22" t="s">
        <v>41</v>
      </c>
      <c r="AC165" s="23" t="str">
        <f t="shared" si="17"/>
        <v>E</v>
      </c>
      <c r="AD165" s="17">
        <v>0</v>
      </c>
      <c r="AE165" s="17">
        <v>0</v>
      </c>
      <c r="AF165" s="17">
        <v>0</v>
      </c>
      <c r="AG165" s="17">
        <v>0</v>
      </c>
      <c r="AH165" s="15" t="s">
        <v>42</v>
      </c>
    </row>
    <row r="166" spans="1:34">
      <c r="A166" s="13" t="str">
        <f t="shared" si="12"/>
        <v>ZeroZero</v>
      </c>
      <c r="B166" s="14" t="s">
        <v>532</v>
      </c>
      <c r="C166" s="15" t="s">
        <v>277</v>
      </c>
      <c r="D166" s="19" t="str">
        <f t="shared" si="13"/>
        <v>前八週無拉料</v>
      </c>
      <c r="E166" s="16" t="str">
        <f t="shared" si="14"/>
        <v>--</v>
      </c>
      <c r="F166" s="16" t="str">
        <f t="shared" si="15"/>
        <v>--</v>
      </c>
      <c r="G166" s="16" t="str">
        <f t="shared" si="16"/>
        <v>--</v>
      </c>
      <c r="H166" s="24" t="str">
        <f>IFERROR(VLOOKUP(B166,#REF!,8,FALSE),"")</f>
        <v/>
      </c>
      <c r="I166" s="17">
        <v>0</v>
      </c>
      <c r="J166" s="17">
        <v>0</v>
      </c>
      <c r="K166" s="24" t="str">
        <f>IFERROR(VLOOKUP(B166,#REF!,11,FALSE),"")</f>
        <v/>
      </c>
      <c r="L166" s="17">
        <v>6000</v>
      </c>
      <c r="M166" s="6" t="s">
        <v>758</v>
      </c>
      <c r="N166" s="18" t="str">
        <f>IFERROR(VLOOKUP(B166,#REF!,13,FALSE),"")</f>
        <v/>
      </c>
      <c r="O166" s="19" t="str">
        <f>IFERROR(VLOOKUP(B166,#REF!,14,FALSE),"")</f>
        <v/>
      </c>
      <c r="P166" s="19" t="str">
        <f>IFERROR(VLOOKUP(B166,#REF!,15,FALSE),"")</f>
        <v/>
      </c>
      <c r="Q166" s="19"/>
      <c r="R166" s="25" t="str">
        <f>IFERROR(VLOOKUP(B166,#REF!,16,FALSE),"")</f>
        <v/>
      </c>
      <c r="S166" s="17">
        <v>0</v>
      </c>
      <c r="T166" s="17">
        <v>6000</v>
      </c>
      <c r="U166" s="17">
        <v>0</v>
      </c>
      <c r="V166" s="17">
        <v>0</v>
      </c>
      <c r="W166" s="20">
        <v>6000</v>
      </c>
      <c r="X166" s="16" t="s">
        <v>40</v>
      </c>
      <c r="Y166" s="21" t="s">
        <v>40</v>
      </c>
      <c r="Z166" s="20">
        <v>0</v>
      </c>
      <c r="AA166" s="17">
        <v>0</v>
      </c>
      <c r="AB166" s="22" t="s">
        <v>41</v>
      </c>
      <c r="AC166" s="23" t="str">
        <f t="shared" si="17"/>
        <v>E</v>
      </c>
      <c r="AD166" s="17">
        <v>0</v>
      </c>
      <c r="AE166" s="17">
        <v>0</v>
      </c>
      <c r="AF166" s="17">
        <v>0</v>
      </c>
      <c r="AG166" s="17">
        <v>6000</v>
      </c>
      <c r="AH166" s="15" t="s">
        <v>42</v>
      </c>
    </row>
    <row r="167" spans="1:34">
      <c r="A167" s="13" t="str">
        <f t="shared" si="12"/>
        <v>OverStock</v>
      </c>
      <c r="B167" s="14" t="s">
        <v>285</v>
      </c>
      <c r="C167" s="15" t="s">
        <v>280</v>
      </c>
      <c r="D167" s="19">
        <f t="shared" si="13"/>
        <v>16</v>
      </c>
      <c r="E167" s="16">
        <f t="shared" si="14"/>
        <v>10.5</v>
      </c>
      <c r="F167" s="16">
        <f t="shared" si="15"/>
        <v>56</v>
      </c>
      <c r="G167" s="16">
        <f t="shared" si="16"/>
        <v>36.6</v>
      </c>
      <c r="H167" s="24" t="str">
        <f>IFERROR(VLOOKUP(B167,#REF!,8,FALSE),"")</f>
        <v/>
      </c>
      <c r="I167" s="17">
        <v>147000</v>
      </c>
      <c r="J167" s="17">
        <v>30000</v>
      </c>
      <c r="K167" s="24" t="str">
        <f>IFERROR(VLOOKUP(B167,#REF!,11,FALSE),"")</f>
        <v/>
      </c>
      <c r="L167" s="17">
        <v>42000</v>
      </c>
      <c r="M167" s="6" t="s">
        <v>751</v>
      </c>
      <c r="N167" s="18" t="str">
        <f>IFERROR(VLOOKUP(B167,#REF!,13,FALSE),"")</f>
        <v/>
      </c>
      <c r="O167" s="19" t="str">
        <f>IFERROR(VLOOKUP(B167,#REF!,14,FALSE),"")</f>
        <v/>
      </c>
      <c r="P167" s="19" t="str">
        <f>IFERROR(VLOOKUP(B167,#REF!,15,FALSE),"")</f>
        <v/>
      </c>
      <c r="Q167" s="19"/>
      <c r="R167" s="25" t="str">
        <f>IFERROR(VLOOKUP(B167,#REF!,16,FALSE),"")</f>
        <v/>
      </c>
      <c r="S167" s="17">
        <v>0</v>
      </c>
      <c r="T167" s="17">
        <v>42000</v>
      </c>
      <c r="U167" s="17">
        <v>0</v>
      </c>
      <c r="V167" s="17">
        <v>0</v>
      </c>
      <c r="W167" s="20">
        <v>189000</v>
      </c>
      <c r="X167" s="16">
        <v>72</v>
      </c>
      <c r="Y167" s="21">
        <v>47.1</v>
      </c>
      <c r="Z167" s="20">
        <v>2625</v>
      </c>
      <c r="AA167" s="17">
        <v>4017</v>
      </c>
      <c r="AB167" s="22">
        <v>1.5</v>
      </c>
      <c r="AC167" s="23">
        <f t="shared" si="17"/>
        <v>100</v>
      </c>
      <c r="AD167" s="17">
        <v>60</v>
      </c>
      <c r="AE167" s="17">
        <v>36000</v>
      </c>
      <c r="AF167" s="17">
        <v>300</v>
      </c>
      <c r="AG167" s="17">
        <v>3150</v>
      </c>
      <c r="AH167" s="15" t="s">
        <v>42</v>
      </c>
    </row>
    <row r="168" spans="1:34">
      <c r="A168" s="13" t="str">
        <f t="shared" si="12"/>
        <v>ZeroZero</v>
      </c>
      <c r="B168" s="14" t="s">
        <v>578</v>
      </c>
      <c r="C168" s="15" t="s">
        <v>277</v>
      </c>
      <c r="D168" s="19" t="str">
        <f t="shared" si="13"/>
        <v>前八週無拉料</v>
      </c>
      <c r="E168" s="16" t="str">
        <f t="shared" si="14"/>
        <v>--</v>
      </c>
      <c r="F168" s="16" t="str">
        <f t="shared" si="15"/>
        <v>--</v>
      </c>
      <c r="G168" s="16" t="str">
        <f t="shared" si="16"/>
        <v>--</v>
      </c>
      <c r="H168" s="24" t="str">
        <f>IFERROR(VLOOKUP(B168,#REF!,8,FALSE),"")</f>
        <v/>
      </c>
      <c r="I168" s="17">
        <v>0</v>
      </c>
      <c r="J168" s="17">
        <v>0</v>
      </c>
      <c r="K168" s="24" t="str">
        <f>IFERROR(VLOOKUP(B168,#REF!,11,FALSE),"")</f>
        <v/>
      </c>
      <c r="L168" s="17">
        <v>15000</v>
      </c>
      <c r="M168" s="6" t="s">
        <v>758</v>
      </c>
      <c r="N168" s="18" t="str">
        <f>IFERROR(VLOOKUP(B168,#REF!,13,FALSE),"")</f>
        <v/>
      </c>
      <c r="O168" s="19" t="str">
        <f>IFERROR(VLOOKUP(B168,#REF!,14,FALSE),"")</f>
        <v/>
      </c>
      <c r="P168" s="19" t="str">
        <f>IFERROR(VLOOKUP(B168,#REF!,15,FALSE),"")</f>
        <v/>
      </c>
      <c r="Q168" s="19"/>
      <c r="R168" s="25" t="str">
        <f>IFERROR(VLOOKUP(B168,#REF!,16,FALSE),"")</f>
        <v/>
      </c>
      <c r="S168" s="17">
        <v>0</v>
      </c>
      <c r="T168" s="17">
        <v>15000</v>
      </c>
      <c r="U168" s="17">
        <v>0</v>
      </c>
      <c r="V168" s="17">
        <v>0</v>
      </c>
      <c r="W168" s="20">
        <v>15000</v>
      </c>
      <c r="X168" s="16" t="s">
        <v>40</v>
      </c>
      <c r="Y168" s="21" t="s">
        <v>40</v>
      </c>
      <c r="Z168" s="20">
        <v>0</v>
      </c>
      <c r="AA168" s="17" t="s">
        <v>40</v>
      </c>
      <c r="AB168" s="22" t="s">
        <v>41</v>
      </c>
      <c r="AC168" s="23" t="str">
        <f t="shared" si="17"/>
        <v>E</v>
      </c>
      <c r="AD168" s="17">
        <v>0</v>
      </c>
      <c r="AE168" s="17">
        <v>0</v>
      </c>
      <c r="AF168" s="17">
        <v>0</v>
      </c>
      <c r="AG168" s="17">
        <v>0</v>
      </c>
      <c r="AH168" s="15" t="s">
        <v>42</v>
      </c>
    </row>
    <row r="169" spans="1:34">
      <c r="A169" s="13" t="str">
        <f t="shared" si="12"/>
        <v>ZeroZero</v>
      </c>
      <c r="B169" s="14" t="s">
        <v>385</v>
      </c>
      <c r="C169" s="15" t="s">
        <v>280</v>
      </c>
      <c r="D169" s="19" t="str">
        <f t="shared" si="13"/>
        <v>前八週無拉料</v>
      </c>
      <c r="E169" s="16" t="str">
        <f t="shared" si="14"/>
        <v>--</v>
      </c>
      <c r="F169" s="16" t="str">
        <f t="shared" si="15"/>
        <v>--</v>
      </c>
      <c r="G169" s="16" t="str">
        <f t="shared" si="16"/>
        <v>--</v>
      </c>
      <c r="H169" s="24" t="str">
        <f>IFERROR(VLOOKUP(B169,#REF!,8,FALSE),"")</f>
        <v/>
      </c>
      <c r="I169" s="17">
        <v>0</v>
      </c>
      <c r="J169" s="17">
        <v>0</v>
      </c>
      <c r="K169" s="24" t="str">
        <f>IFERROR(VLOOKUP(B169,#REF!,11,FALSE),"")</f>
        <v/>
      </c>
      <c r="L169" s="17">
        <v>22500</v>
      </c>
      <c r="M169" s="6" t="s">
        <v>748</v>
      </c>
      <c r="N169" s="18" t="str">
        <f>IFERROR(VLOOKUP(B169,#REF!,13,FALSE),"")</f>
        <v/>
      </c>
      <c r="O169" s="19" t="str">
        <f>IFERROR(VLOOKUP(B169,#REF!,14,FALSE),"")</f>
        <v/>
      </c>
      <c r="P169" s="19" t="str">
        <f>IFERROR(VLOOKUP(B169,#REF!,15,FALSE),"")</f>
        <v/>
      </c>
      <c r="Q169" s="19"/>
      <c r="R169" s="25" t="str">
        <f>IFERROR(VLOOKUP(B169,#REF!,16,FALSE),"")</f>
        <v/>
      </c>
      <c r="S169" s="17">
        <v>0</v>
      </c>
      <c r="T169" s="17">
        <v>22500</v>
      </c>
      <c r="U169" s="17">
        <v>0</v>
      </c>
      <c r="V169" s="17">
        <v>0</v>
      </c>
      <c r="W169" s="20">
        <v>22500</v>
      </c>
      <c r="X169" s="16" t="s">
        <v>40</v>
      </c>
      <c r="Y169" s="21" t="s">
        <v>40</v>
      </c>
      <c r="Z169" s="20">
        <v>0</v>
      </c>
      <c r="AA169" s="17" t="s">
        <v>40</v>
      </c>
      <c r="AB169" s="22" t="s">
        <v>41</v>
      </c>
      <c r="AC169" s="23" t="str">
        <f t="shared" si="17"/>
        <v>E</v>
      </c>
      <c r="AD169" s="17">
        <v>0</v>
      </c>
      <c r="AE169" s="17">
        <v>0</v>
      </c>
      <c r="AF169" s="17">
        <v>0</v>
      </c>
      <c r="AG169" s="17">
        <v>0</v>
      </c>
      <c r="AH169" s="15" t="s">
        <v>42</v>
      </c>
    </row>
    <row r="170" spans="1:34">
      <c r="A170" s="13" t="str">
        <f t="shared" si="12"/>
        <v>ZeroZero</v>
      </c>
      <c r="B170" s="14" t="s">
        <v>113</v>
      </c>
      <c r="C170" s="15" t="s">
        <v>46</v>
      </c>
      <c r="D170" s="19" t="str">
        <f t="shared" si="13"/>
        <v>前八週無拉料</v>
      </c>
      <c r="E170" s="16" t="str">
        <f t="shared" si="14"/>
        <v>--</v>
      </c>
      <c r="F170" s="16" t="str">
        <f t="shared" si="15"/>
        <v>--</v>
      </c>
      <c r="G170" s="16" t="str">
        <f t="shared" si="16"/>
        <v>--</v>
      </c>
      <c r="H170" s="24" t="str">
        <f>IFERROR(VLOOKUP(B170,#REF!,8,FALSE),"")</f>
        <v/>
      </c>
      <c r="I170" s="17">
        <v>0</v>
      </c>
      <c r="J170" s="17">
        <v>0</v>
      </c>
      <c r="K170" s="24" t="str">
        <f>IFERROR(VLOOKUP(B170,#REF!,11,FALSE),"")</f>
        <v/>
      </c>
      <c r="L170" s="17">
        <v>6000</v>
      </c>
      <c r="M170" s="6" t="s">
        <v>745</v>
      </c>
      <c r="N170" s="18" t="str">
        <f>IFERROR(VLOOKUP(B170,#REF!,13,FALSE),"")</f>
        <v/>
      </c>
      <c r="O170" s="19" t="str">
        <f>IFERROR(VLOOKUP(B170,#REF!,14,FALSE),"")</f>
        <v/>
      </c>
      <c r="P170" s="19" t="str">
        <f>IFERROR(VLOOKUP(B170,#REF!,15,FALSE),"")</f>
        <v/>
      </c>
      <c r="Q170" s="19"/>
      <c r="R170" s="25" t="str">
        <f>IFERROR(VLOOKUP(B170,#REF!,16,FALSE),"")</f>
        <v/>
      </c>
      <c r="S170" s="17">
        <v>0</v>
      </c>
      <c r="T170" s="17">
        <v>6000</v>
      </c>
      <c r="U170" s="17">
        <v>0</v>
      </c>
      <c r="V170" s="17">
        <v>0</v>
      </c>
      <c r="W170" s="20">
        <v>6000</v>
      </c>
      <c r="X170" s="16" t="s">
        <v>40</v>
      </c>
      <c r="Y170" s="21" t="s">
        <v>40</v>
      </c>
      <c r="Z170" s="20">
        <v>0</v>
      </c>
      <c r="AA170" s="17" t="s">
        <v>40</v>
      </c>
      <c r="AB170" s="22" t="s">
        <v>41</v>
      </c>
      <c r="AC170" s="23" t="str">
        <f t="shared" si="17"/>
        <v>E</v>
      </c>
      <c r="AD170" s="17">
        <v>0</v>
      </c>
      <c r="AE170" s="17">
        <v>0</v>
      </c>
      <c r="AF170" s="17">
        <v>0</v>
      </c>
      <c r="AG170" s="17">
        <v>0</v>
      </c>
      <c r="AH170" s="15" t="s">
        <v>42</v>
      </c>
    </row>
    <row r="171" spans="1:34">
      <c r="A171" s="13" t="str">
        <f t="shared" si="12"/>
        <v>ZeroZero</v>
      </c>
      <c r="B171" s="14" t="s">
        <v>180</v>
      </c>
      <c r="C171" s="15" t="s">
        <v>46</v>
      </c>
      <c r="D171" s="19" t="str">
        <f t="shared" si="13"/>
        <v>前八週無拉料</v>
      </c>
      <c r="E171" s="16" t="str">
        <f t="shared" si="14"/>
        <v>--</v>
      </c>
      <c r="F171" s="16" t="str">
        <f t="shared" si="15"/>
        <v>--</v>
      </c>
      <c r="G171" s="16" t="str">
        <f t="shared" si="16"/>
        <v>--</v>
      </c>
      <c r="H171" s="24" t="str">
        <f>IFERROR(VLOOKUP(B171,#REF!,8,FALSE),"")</f>
        <v/>
      </c>
      <c r="I171" s="17">
        <v>0</v>
      </c>
      <c r="J171" s="17">
        <v>0</v>
      </c>
      <c r="K171" s="24" t="str">
        <f>IFERROR(VLOOKUP(B171,#REF!,11,FALSE),"")</f>
        <v/>
      </c>
      <c r="L171" s="17">
        <v>2500</v>
      </c>
      <c r="M171" s="6" t="s">
        <v>745</v>
      </c>
      <c r="N171" s="18" t="str">
        <f>IFERROR(VLOOKUP(B171,#REF!,13,FALSE),"")</f>
        <v/>
      </c>
      <c r="O171" s="19" t="str">
        <f>IFERROR(VLOOKUP(B171,#REF!,14,FALSE),"")</f>
        <v/>
      </c>
      <c r="P171" s="19" t="str">
        <f>IFERROR(VLOOKUP(B171,#REF!,15,FALSE),"")</f>
        <v/>
      </c>
      <c r="Q171" s="19"/>
      <c r="R171" s="25" t="str">
        <f>IFERROR(VLOOKUP(B171,#REF!,16,FALSE),"")</f>
        <v/>
      </c>
      <c r="S171" s="17">
        <v>0</v>
      </c>
      <c r="T171" s="17">
        <v>2500</v>
      </c>
      <c r="U171" s="17">
        <v>0</v>
      </c>
      <c r="V171" s="17">
        <v>0</v>
      </c>
      <c r="W171" s="20">
        <v>2500</v>
      </c>
      <c r="X171" s="16" t="s">
        <v>40</v>
      </c>
      <c r="Y171" s="21" t="s">
        <v>40</v>
      </c>
      <c r="Z171" s="20">
        <v>0</v>
      </c>
      <c r="AA171" s="17" t="s">
        <v>40</v>
      </c>
      <c r="AB171" s="22" t="s">
        <v>41</v>
      </c>
      <c r="AC171" s="23" t="str">
        <f t="shared" si="17"/>
        <v>E</v>
      </c>
      <c r="AD171" s="17">
        <v>0</v>
      </c>
      <c r="AE171" s="17">
        <v>0</v>
      </c>
      <c r="AF171" s="17">
        <v>0</v>
      </c>
      <c r="AG171" s="17">
        <v>0</v>
      </c>
      <c r="AH171" s="15" t="s">
        <v>42</v>
      </c>
    </row>
    <row r="172" spans="1:34">
      <c r="A172" s="13" t="str">
        <f t="shared" si="12"/>
        <v>ZeroZero</v>
      </c>
      <c r="B172" s="14" t="s">
        <v>395</v>
      </c>
      <c r="C172" s="15" t="s">
        <v>280</v>
      </c>
      <c r="D172" s="19" t="str">
        <f t="shared" si="13"/>
        <v>前八週無拉料</v>
      </c>
      <c r="E172" s="16" t="str">
        <f t="shared" si="14"/>
        <v>--</v>
      </c>
      <c r="F172" s="16" t="str">
        <f t="shared" si="15"/>
        <v>--</v>
      </c>
      <c r="G172" s="16" t="str">
        <f t="shared" si="16"/>
        <v>--</v>
      </c>
      <c r="H172" s="24" t="str">
        <f>IFERROR(VLOOKUP(B172,#REF!,8,FALSE),"")</f>
        <v/>
      </c>
      <c r="I172" s="17">
        <v>0</v>
      </c>
      <c r="J172" s="17">
        <v>0</v>
      </c>
      <c r="K172" s="24" t="str">
        <f>IFERROR(VLOOKUP(B172,#REF!,11,FALSE),"")</f>
        <v/>
      </c>
      <c r="L172" s="17">
        <v>9000</v>
      </c>
      <c r="M172" s="6" t="s">
        <v>752</v>
      </c>
      <c r="N172" s="18" t="str">
        <f>IFERROR(VLOOKUP(B172,#REF!,13,FALSE),"")</f>
        <v/>
      </c>
      <c r="O172" s="19" t="str">
        <f>IFERROR(VLOOKUP(B172,#REF!,14,FALSE),"")</f>
        <v/>
      </c>
      <c r="P172" s="19" t="str">
        <f>IFERROR(VLOOKUP(B172,#REF!,15,FALSE),"")</f>
        <v/>
      </c>
      <c r="Q172" s="19"/>
      <c r="R172" s="25" t="str">
        <f>IFERROR(VLOOKUP(B172,#REF!,16,FALSE),"")</f>
        <v/>
      </c>
      <c r="S172" s="17">
        <v>0</v>
      </c>
      <c r="T172" s="17">
        <v>9000</v>
      </c>
      <c r="U172" s="17">
        <v>0</v>
      </c>
      <c r="V172" s="17">
        <v>0</v>
      </c>
      <c r="W172" s="20">
        <v>9000</v>
      </c>
      <c r="X172" s="16" t="s">
        <v>40</v>
      </c>
      <c r="Y172" s="21" t="s">
        <v>40</v>
      </c>
      <c r="Z172" s="20">
        <v>0</v>
      </c>
      <c r="AA172" s="17" t="s">
        <v>40</v>
      </c>
      <c r="AB172" s="22" t="s">
        <v>41</v>
      </c>
      <c r="AC172" s="23" t="str">
        <f t="shared" si="17"/>
        <v>E</v>
      </c>
      <c r="AD172" s="17">
        <v>0</v>
      </c>
      <c r="AE172" s="17">
        <v>0</v>
      </c>
      <c r="AF172" s="17">
        <v>0</v>
      </c>
      <c r="AG172" s="17">
        <v>0</v>
      </c>
      <c r="AH172" s="15" t="s">
        <v>42</v>
      </c>
    </row>
    <row r="173" spans="1:34">
      <c r="A173" s="13" t="str">
        <f t="shared" si="12"/>
        <v>ZeroZero</v>
      </c>
      <c r="B173" s="14" t="s">
        <v>651</v>
      </c>
      <c r="C173" s="15" t="s">
        <v>277</v>
      </c>
      <c r="D173" s="19" t="str">
        <f t="shared" si="13"/>
        <v>前八週無拉料</v>
      </c>
      <c r="E173" s="16" t="str">
        <f t="shared" si="14"/>
        <v>--</v>
      </c>
      <c r="F173" s="16" t="str">
        <f t="shared" si="15"/>
        <v>--</v>
      </c>
      <c r="G173" s="16" t="str">
        <f t="shared" si="16"/>
        <v>--</v>
      </c>
      <c r="H173" s="24" t="str">
        <f>IFERROR(VLOOKUP(B173,#REF!,8,FALSE),"")</f>
        <v/>
      </c>
      <c r="I173" s="17">
        <v>0</v>
      </c>
      <c r="J173" s="17">
        <v>0</v>
      </c>
      <c r="K173" s="24" t="str">
        <f>IFERROR(VLOOKUP(B173,#REF!,11,FALSE),"")</f>
        <v/>
      </c>
      <c r="L173" s="17">
        <v>3000</v>
      </c>
      <c r="M173" s="6" t="s">
        <v>758</v>
      </c>
      <c r="N173" s="18" t="str">
        <f>IFERROR(VLOOKUP(B173,#REF!,13,FALSE),"")</f>
        <v/>
      </c>
      <c r="O173" s="19" t="str">
        <f>IFERROR(VLOOKUP(B173,#REF!,14,FALSE),"")</f>
        <v/>
      </c>
      <c r="P173" s="19" t="str">
        <f>IFERROR(VLOOKUP(B173,#REF!,15,FALSE),"")</f>
        <v/>
      </c>
      <c r="Q173" s="19"/>
      <c r="R173" s="25" t="str">
        <f>IFERROR(VLOOKUP(B173,#REF!,16,FALSE),"")</f>
        <v/>
      </c>
      <c r="S173" s="17">
        <v>0</v>
      </c>
      <c r="T173" s="17">
        <v>3000</v>
      </c>
      <c r="U173" s="17">
        <v>0</v>
      </c>
      <c r="V173" s="17">
        <v>0</v>
      </c>
      <c r="W173" s="20">
        <v>3000</v>
      </c>
      <c r="X173" s="16" t="s">
        <v>40</v>
      </c>
      <c r="Y173" s="21" t="s">
        <v>40</v>
      </c>
      <c r="Z173" s="20">
        <v>0</v>
      </c>
      <c r="AA173" s="17" t="s">
        <v>40</v>
      </c>
      <c r="AB173" s="22" t="s">
        <v>41</v>
      </c>
      <c r="AC173" s="23" t="str">
        <f t="shared" si="17"/>
        <v>E</v>
      </c>
      <c r="AD173" s="17">
        <v>0</v>
      </c>
      <c r="AE173" s="17">
        <v>0</v>
      </c>
      <c r="AF173" s="17">
        <v>0</v>
      </c>
      <c r="AG173" s="17">
        <v>0</v>
      </c>
      <c r="AH173" s="15" t="s">
        <v>42</v>
      </c>
    </row>
    <row r="174" spans="1:34">
      <c r="A174" s="13" t="str">
        <f t="shared" si="12"/>
        <v>ZeroZero</v>
      </c>
      <c r="B174" s="14" t="s">
        <v>268</v>
      </c>
      <c r="C174" s="15" t="s">
        <v>269</v>
      </c>
      <c r="D174" s="19" t="str">
        <f t="shared" si="13"/>
        <v>前八週無拉料</v>
      </c>
      <c r="E174" s="16" t="str">
        <f t="shared" si="14"/>
        <v>--</v>
      </c>
      <c r="F174" s="16" t="str">
        <f t="shared" si="15"/>
        <v>--</v>
      </c>
      <c r="G174" s="16" t="str">
        <f t="shared" si="16"/>
        <v>--</v>
      </c>
      <c r="H174" s="24" t="str">
        <f>IFERROR(VLOOKUP(B174,#REF!,8,FALSE),"")</f>
        <v/>
      </c>
      <c r="I174" s="17">
        <v>0</v>
      </c>
      <c r="J174" s="17">
        <v>0</v>
      </c>
      <c r="K174" s="24" t="str">
        <f>IFERROR(VLOOKUP(B174,#REF!,11,FALSE),"")</f>
        <v/>
      </c>
      <c r="L174" s="17">
        <v>32000</v>
      </c>
      <c r="M174" s="6" t="s">
        <v>748</v>
      </c>
      <c r="N174" s="18" t="str">
        <f>IFERROR(VLOOKUP(B174,#REF!,13,FALSE),"")</f>
        <v/>
      </c>
      <c r="O174" s="19" t="str">
        <f>IFERROR(VLOOKUP(B174,#REF!,14,FALSE),"")</f>
        <v/>
      </c>
      <c r="P174" s="19" t="str">
        <f>IFERROR(VLOOKUP(B174,#REF!,15,FALSE),"")</f>
        <v/>
      </c>
      <c r="Q174" s="19"/>
      <c r="R174" s="25" t="str">
        <f>IFERROR(VLOOKUP(B174,#REF!,16,FALSE),"")</f>
        <v/>
      </c>
      <c r="S174" s="17">
        <v>0</v>
      </c>
      <c r="T174" s="17">
        <v>32000</v>
      </c>
      <c r="U174" s="17">
        <v>0</v>
      </c>
      <c r="V174" s="17">
        <v>0</v>
      </c>
      <c r="W174" s="20">
        <v>32000</v>
      </c>
      <c r="X174" s="16" t="s">
        <v>40</v>
      </c>
      <c r="Y174" s="21" t="s">
        <v>40</v>
      </c>
      <c r="Z174" s="20">
        <v>0</v>
      </c>
      <c r="AA174" s="17" t="s">
        <v>40</v>
      </c>
      <c r="AB174" s="22" t="s">
        <v>41</v>
      </c>
      <c r="AC174" s="23" t="str">
        <f t="shared" si="17"/>
        <v>E</v>
      </c>
      <c r="AD174" s="17">
        <v>0</v>
      </c>
      <c r="AE174" s="17">
        <v>0</v>
      </c>
      <c r="AF174" s="17">
        <v>0</v>
      </c>
      <c r="AG174" s="17">
        <v>0</v>
      </c>
      <c r="AH174" s="15" t="s">
        <v>42</v>
      </c>
    </row>
    <row r="175" spans="1:34">
      <c r="A175" s="13" t="str">
        <f t="shared" si="12"/>
        <v>ZeroZero</v>
      </c>
      <c r="B175" s="14" t="s">
        <v>490</v>
      </c>
      <c r="C175" s="15" t="s">
        <v>280</v>
      </c>
      <c r="D175" s="19" t="str">
        <f t="shared" si="13"/>
        <v>前八週無拉料</v>
      </c>
      <c r="E175" s="16" t="str">
        <f t="shared" si="14"/>
        <v>--</v>
      </c>
      <c r="F175" s="16" t="str">
        <f t="shared" si="15"/>
        <v>--</v>
      </c>
      <c r="G175" s="16" t="str">
        <f t="shared" si="16"/>
        <v>--</v>
      </c>
      <c r="H175" s="24" t="str">
        <f>IFERROR(VLOOKUP(B175,#REF!,8,FALSE),"")</f>
        <v/>
      </c>
      <c r="I175" s="17">
        <v>0</v>
      </c>
      <c r="J175" s="17">
        <v>0</v>
      </c>
      <c r="K175" s="24" t="str">
        <f>IFERROR(VLOOKUP(B175,#REF!,11,FALSE),"")</f>
        <v/>
      </c>
      <c r="L175" s="17">
        <v>6000</v>
      </c>
      <c r="M175" s="6" t="s">
        <v>748</v>
      </c>
      <c r="N175" s="18" t="str">
        <f>IFERROR(VLOOKUP(B175,#REF!,13,FALSE),"")</f>
        <v/>
      </c>
      <c r="O175" s="19" t="str">
        <f>IFERROR(VLOOKUP(B175,#REF!,14,FALSE),"")</f>
        <v/>
      </c>
      <c r="P175" s="19" t="str">
        <f>IFERROR(VLOOKUP(B175,#REF!,15,FALSE),"")</f>
        <v/>
      </c>
      <c r="Q175" s="19"/>
      <c r="R175" s="25" t="str">
        <f>IFERROR(VLOOKUP(B175,#REF!,16,FALSE),"")</f>
        <v/>
      </c>
      <c r="S175" s="17">
        <v>0</v>
      </c>
      <c r="T175" s="17">
        <v>6000</v>
      </c>
      <c r="U175" s="17">
        <v>0</v>
      </c>
      <c r="V175" s="17">
        <v>0</v>
      </c>
      <c r="W175" s="20">
        <v>6000</v>
      </c>
      <c r="X175" s="16" t="s">
        <v>40</v>
      </c>
      <c r="Y175" s="21" t="s">
        <v>40</v>
      </c>
      <c r="Z175" s="20">
        <v>0</v>
      </c>
      <c r="AA175" s="17" t="s">
        <v>40</v>
      </c>
      <c r="AB175" s="22" t="s">
        <v>41</v>
      </c>
      <c r="AC175" s="23" t="str">
        <f t="shared" si="17"/>
        <v>E</v>
      </c>
      <c r="AD175" s="17">
        <v>0</v>
      </c>
      <c r="AE175" s="17">
        <v>0</v>
      </c>
      <c r="AF175" s="17">
        <v>0</v>
      </c>
      <c r="AG175" s="17">
        <v>0</v>
      </c>
      <c r="AH175" s="15" t="s">
        <v>42</v>
      </c>
    </row>
    <row r="176" spans="1:34">
      <c r="A176" s="13" t="str">
        <f t="shared" si="12"/>
        <v>ZeroZero</v>
      </c>
      <c r="B176" s="14" t="s">
        <v>472</v>
      </c>
      <c r="C176" s="15" t="s">
        <v>280</v>
      </c>
      <c r="D176" s="19" t="str">
        <f t="shared" si="13"/>
        <v>前八週無拉料</v>
      </c>
      <c r="E176" s="16" t="str">
        <f t="shared" si="14"/>
        <v>--</v>
      </c>
      <c r="F176" s="16" t="str">
        <f t="shared" si="15"/>
        <v>--</v>
      </c>
      <c r="G176" s="16" t="str">
        <f t="shared" si="16"/>
        <v>--</v>
      </c>
      <c r="H176" s="24" t="str">
        <f>IFERROR(VLOOKUP(B176,#REF!,8,FALSE),"")</f>
        <v/>
      </c>
      <c r="I176" s="17">
        <v>0</v>
      </c>
      <c r="J176" s="17">
        <v>0</v>
      </c>
      <c r="K176" s="24" t="str">
        <f>IFERROR(VLOOKUP(B176,#REF!,11,FALSE),"")</f>
        <v/>
      </c>
      <c r="L176" s="17">
        <v>20000</v>
      </c>
      <c r="M176" s="6" t="s">
        <v>748</v>
      </c>
      <c r="N176" s="18" t="str">
        <f>IFERROR(VLOOKUP(B176,#REF!,13,FALSE),"")</f>
        <v/>
      </c>
      <c r="O176" s="19" t="str">
        <f>IFERROR(VLOOKUP(B176,#REF!,14,FALSE),"")</f>
        <v/>
      </c>
      <c r="P176" s="19" t="str">
        <f>IFERROR(VLOOKUP(B176,#REF!,15,FALSE),"")</f>
        <v/>
      </c>
      <c r="Q176" s="19"/>
      <c r="R176" s="25" t="str">
        <f>IFERROR(VLOOKUP(B176,#REF!,16,FALSE),"")</f>
        <v/>
      </c>
      <c r="S176" s="17">
        <v>0</v>
      </c>
      <c r="T176" s="17">
        <v>20000</v>
      </c>
      <c r="U176" s="17">
        <v>0</v>
      </c>
      <c r="V176" s="17">
        <v>0</v>
      </c>
      <c r="W176" s="20">
        <v>20000</v>
      </c>
      <c r="X176" s="16" t="s">
        <v>40</v>
      </c>
      <c r="Y176" s="21" t="s">
        <v>40</v>
      </c>
      <c r="Z176" s="20">
        <v>0</v>
      </c>
      <c r="AA176" s="17" t="s">
        <v>40</v>
      </c>
      <c r="AB176" s="22" t="s">
        <v>41</v>
      </c>
      <c r="AC176" s="23" t="str">
        <f t="shared" si="17"/>
        <v>E</v>
      </c>
      <c r="AD176" s="17">
        <v>0</v>
      </c>
      <c r="AE176" s="17">
        <v>0</v>
      </c>
      <c r="AF176" s="17">
        <v>0</v>
      </c>
      <c r="AG176" s="17">
        <v>0</v>
      </c>
      <c r="AH176" s="15" t="s">
        <v>42</v>
      </c>
    </row>
    <row r="177" spans="1:34">
      <c r="A177" s="13" t="str">
        <f t="shared" si="12"/>
        <v>ZeroZero</v>
      </c>
      <c r="B177" s="14" t="s">
        <v>342</v>
      </c>
      <c r="C177" s="15" t="s">
        <v>280</v>
      </c>
      <c r="D177" s="19" t="str">
        <f t="shared" si="13"/>
        <v>前八週無拉料</v>
      </c>
      <c r="E177" s="16" t="str">
        <f t="shared" si="14"/>
        <v>--</v>
      </c>
      <c r="F177" s="16" t="str">
        <f t="shared" si="15"/>
        <v>--</v>
      </c>
      <c r="G177" s="16" t="str">
        <f t="shared" si="16"/>
        <v>--</v>
      </c>
      <c r="H177" s="24" t="str">
        <f>IFERROR(VLOOKUP(B177,#REF!,8,FALSE),"")</f>
        <v/>
      </c>
      <c r="I177" s="17">
        <v>0</v>
      </c>
      <c r="J177" s="17">
        <v>0</v>
      </c>
      <c r="K177" s="24" t="str">
        <f>IFERROR(VLOOKUP(B177,#REF!,11,FALSE),"")</f>
        <v/>
      </c>
      <c r="L177" s="17">
        <v>24000</v>
      </c>
      <c r="M177" s="6" t="s">
        <v>748</v>
      </c>
      <c r="N177" s="18" t="str">
        <f>IFERROR(VLOOKUP(B177,#REF!,13,FALSE),"")</f>
        <v/>
      </c>
      <c r="O177" s="19" t="str">
        <f>IFERROR(VLOOKUP(B177,#REF!,14,FALSE),"")</f>
        <v/>
      </c>
      <c r="P177" s="19" t="str">
        <f>IFERROR(VLOOKUP(B177,#REF!,15,FALSE),"")</f>
        <v/>
      </c>
      <c r="Q177" s="19"/>
      <c r="R177" s="25" t="str">
        <f>IFERROR(VLOOKUP(B177,#REF!,16,FALSE),"")</f>
        <v/>
      </c>
      <c r="S177" s="17">
        <v>0</v>
      </c>
      <c r="T177" s="17">
        <v>24000</v>
      </c>
      <c r="U177" s="17">
        <v>0</v>
      </c>
      <c r="V177" s="17">
        <v>0</v>
      </c>
      <c r="W177" s="20">
        <v>24000</v>
      </c>
      <c r="X177" s="16" t="s">
        <v>40</v>
      </c>
      <c r="Y177" s="21" t="s">
        <v>40</v>
      </c>
      <c r="Z177" s="20">
        <v>0</v>
      </c>
      <c r="AA177" s="17" t="s">
        <v>40</v>
      </c>
      <c r="AB177" s="22" t="s">
        <v>41</v>
      </c>
      <c r="AC177" s="23" t="str">
        <f t="shared" si="17"/>
        <v>E</v>
      </c>
      <c r="AD177" s="17">
        <v>0</v>
      </c>
      <c r="AE177" s="17">
        <v>0</v>
      </c>
      <c r="AF177" s="17">
        <v>0</v>
      </c>
      <c r="AG177" s="17">
        <v>0</v>
      </c>
      <c r="AH177" s="15" t="s">
        <v>42</v>
      </c>
    </row>
    <row r="178" spans="1:34">
      <c r="A178" s="13" t="str">
        <f t="shared" si="12"/>
        <v>ZeroZero</v>
      </c>
      <c r="B178" s="14" t="s">
        <v>235</v>
      </c>
      <c r="C178" s="15" t="s">
        <v>46</v>
      </c>
      <c r="D178" s="19" t="str">
        <f t="shared" si="13"/>
        <v>前八週無拉料</v>
      </c>
      <c r="E178" s="16" t="str">
        <f t="shared" si="14"/>
        <v>--</v>
      </c>
      <c r="F178" s="16" t="str">
        <f t="shared" si="15"/>
        <v>--</v>
      </c>
      <c r="G178" s="16" t="str">
        <f t="shared" si="16"/>
        <v>--</v>
      </c>
      <c r="H178" s="24" t="str">
        <f>IFERROR(VLOOKUP(B178,#REF!,8,FALSE),"")</f>
        <v/>
      </c>
      <c r="I178" s="17">
        <v>35000</v>
      </c>
      <c r="J178" s="17">
        <v>25000</v>
      </c>
      <c r="K178" s="24" t="str">
        <f>IFERROR(VLOOKUP(B178,#REF!,11,FALSE),"")</f>
        <v/>
      </c>
      <c r="L178" s="17">
        <v>1900</v>
      </c>
      <c r="M178" s="6" t="s">
        <v>745</v>
      </c>
      <c r="N178" s="18" t="str">
        <f>IFERROR(VLOOKUP(B178,#REF!,13,FALSE),"")</f>
        <v/>
      </c>
      <c r="O178" s="19" t="str">
        <f>IFERROR(VLOOKUP(B178,#REF!,14,FALSE),"")</f>
        <v/>
      </c>
      <c r="P178" s="19" t="str">
        <f>IFERROR(VLOOKUP(B178,#REF!,15,FALSE),"")</f>
        <v/>
      </c>
      <c r="Q178" s="19"/>
      <c r="R178" s="25" t="str">
        <f>IFERROR(VLOOKUP(B178,#REF!,16,FALSE),"")</f>
        <v/>
      </c>
      <c r="S178" s="17">
        <v>0</v>
      </c>
      <c r="T178" s="17">
        <v>1900</v>
      </c>
      <c r="U178" s="17">
        <v>0</v>
      </c>
      <c r="V178" s="17">
        <v>0</v>
      </c>
      <c r="W178" s="20">
        <v>36900</v>
      </c>
      <c r="X178" s="16" t="s">
        <v>40</v>
      </c>
      <c r="Y178" s="21" t="s">
        <v>40</v>
      </c>
      <c r="Z178" s="20">
        <v>0</v>
      </c>
      <c r="AA178" s="17" t="s">
        <v>40</v>
      </c>
      <c r="AB178" s="22" t="s">
        <v>41</v>
      </c>
      <c r="AC178" s="23" t="str">
        <f t="shared" si="17"/>
        <v>E</v>
      </c>
      <c r="AD178" s="17">
        <v>0</v>
      </c>
      <c r="AE178" s="17">
        <v>0</v>
      </c>
      <c r="AF178" s="17">
        <v>0</v>
      </c>
      <c r="AG178" s="17">
        <v>0</v>
      </c>
      <c r="AH178" s="15" t="s">
        <v>42</v>
      </c>
    </row>
    <row r="179" spans="1:34">
      <c r="A179" s="13" t="str">
        <f t="shared" si="12"/>
        <v>ZeroZero</v>
      </c>
      <c r="B179" s="14" t="s">
        <v>480</v>
      </c>
      <c r="C179" s="15" t="s">
        <v>280</v>
      </c>
      <c r="D179" s="19" t="str">
        <f t="shared" si="13"/>
        <v>前八週無拉料</v>
      </c>
      <c r="E179" s="16" t="str">
        <f t="shared" si="14"/>
        <v>--</v>
      </c>
      <c r="F179" s="16" t="str">
        <f t="shared" si="15"/>
        <v>--</v>
      </c>
      <c r="G179" s="16" t="str">
        <f t="shared" si="16"/>
        <v>--</v>
      </c>
      <c r="H179" s="24" t="str">
        <f>IFERROR(VLOOKUP(B179,#REF!,8,FALSE),"")</f>
        <v/>
      </c>
      <c r="I179" s="17">
        <v>0</v>
      </c>
      <c r="J179" s="17">
        <v>0</v>
      </c>
      <c r="K179" s="24" t="str">
        <f>IFERROR(VLOOKUP(B179,#REF!,11,FALSE),"")</f>
        <v/>
      </c>
      <c r="L179" s="17">
        <v>9000</v>
      </c>
      <c r="M179" s="6" t="s">
        <v>748</v>
      </c>
      <c r="N179" s="18" t="str">
        <f>IFERROR(VLOOKUP(B179,#REF!,13,FALSE),"")</f>
        <v/>
      </c>
      <c r="O179" s="19" t="str">
        <f>IFERROR(VLOOKUP(B179,#REF!,14,FALSE),"")</f>
        <v/>
      </c>
      <c r="P179" s="19" t="str">
        <f>IFERROR(VLOOKUP(B179,#REF!,15,FALSE),"")</f>
        <v/>
      </c>
      <c r="Q179" s="19"/>
      <c r="R179" s="25" t="str">
        <f>IFERROR(VLOOKUP(B179,#REF!,16,FALSE),"")</f>
        <v/>
      </c>
      <c r="S179" s="17">
        <v>0</v>
      </c>
      <c r="T179" s="17">
        <v>9000</v>
      </c>
      <c r="U179" s="17">
        <v>0</v>
      </c>
      <c r="V179" s="17">
        <v>0</v>
      </c>
      <c r="W179" s="20">
        <v>9000</v>
      </c>
      <c r="X179" s="16" t="s">
        <v>40</v>
      </c>
      <c r="Y179" s="21" t="s">
        <v>40</v>
      </c>
      <c r="Z179" s="20">
        <v>0</v>
      </c>
      <c r="AA179" s="17" t="s">
        <v>40</v>
      </c>
      <c r="AB179" s="22" t="s">
        <v>41</v>
      </c>
      <c r="AC179" s="23" t="str">
        <f t="shared" si="17"/>
        <v>E</v>
      </c>
      <c r="AD179" s="17">
        <v>0</v>
      </c>
      <c r="AE179" s="17">
        <v>0</v>
      </c>
      <c r="AF179" s="17">
        <v>0</v>
      </c>
      <c r="AG179" s="17">
        <v>0</v>
      </c>
      <c r="AH179" s="15" t="s">
        <v>42</v>
      </c>
    </row>
    <row r="180" spans="1:34">
      <c r="A180" s="13" t="str">
        <f t="shared" si="12"/>
        <v>ZeroZero</v>
      </c>
      <c r="B180" s="14" t="s">
        <v>157</v>
      </c>
      <c r="C180" s="15" t="s">
        <v>46</v>
      </c>
      <c r="D180" s="19" t="str">
        <f t="shared" si="13"/>
        <v>前八週無拉料</v>
      </c>
      <c r="E180" s="16" t="str">
        <f t="shared" si="14"/>
        <v>--</v>
      </c>
      <c r="F180" s="16" t="str">
        <f t="shared" si="15"/>
        <v>--</v>
      </c>
      <c r="G180" s="16" t="str">
        <f t="shared" si="16"/>
        <v>--</v>
      </c>
      <c r="H180" s="24" t="str">
        <f>IFERROR(VLOOKUP(B180,#REF!,8,FALSE),"")</f>
        <v/>
      </c>
      <c r="I180" s="17">
        <v>0</v>
      </c>
      <c r="J180" s="17">
        <v>0</v>
      </c>
      <c r="K180" s="24" t="str">
        <f>IFERROR(VLOOKUP(B180,#REF!,11,FALSE),"")</f>
        <v/>
      </c>
      <c r="L180" s="17">
        <v>5000</v>
      </c>
      <c r="M180" s="6" t="s">
        <v>745</v>
      </c>
      <c r="N180" s="18" t="str">
        <f>IFERROR(VLOOKUP(B180,#REF!,13,FALSE),"")</f>
        <v/>
      </c>
      <c r="O180" s="19" t="str">
        <f>IFERROR(VLOOKUP(B180,#REF!,14,FALSE),"")</f>
        <v/>
      </c>
      <c r="P180" s="19" t="str">
        <f>IFERROR(VLOOKUP(B180,#REF!,15,FALSE),"")</f>
        <v/>
      </c>
      <c r="Q180" s="19"/>
      <c r="R180" s="25" t="str">
        <f>IFERROR(VLOOKUP(B180,#REF!,16,FALSE),"")</f>
        <v/>
      </c>
      <c r="S180" s="17">
        <v>0</v>
      </c>
      <c r="T180" s="17">
        <v>5000</v>
      </c>
      <c r="U180" s="17">
        <v>0</v>
      </c>
      <c r="V180" s="17">
        <v>0</v>
      </c>
      <c r="W180" s="20">
        <v>5000</v>
      </c>
      <c r="X180" s="16" t="s">
        <v>40</v>
      </c>
      <c r="Y180" s="21" t="s">
        <v>40</v>
      </c>
      <c r="Z180" s="20">
        <v>0</v>
      </c>
      <c r="AA180" s="17" t="s">
        <v>40</v>
      </c>
      <c r="AB180" s="22" t="s">
        <v>41</v>
      </c>
      <c r="AC180" s="23" t="str">
        <f t="shared" si="17"/>
        <v>E</v>
      </c>
      <c r="AD180" s="17">
        <v>0</v>
      </c>
      <c r="AE180" s="17">
        <v>0</v>
      </c>
      <c r="AF180" s="17">
        <v>0</v>
      </c>
      <c r="AG180" s="17">
        <v>0</v>
      </c>
      <c r="AH180" s="15" t="s">
        <v>42</v>
      </c>
    </row>
    <row r="181" spans="1:34">
      <c r="A181" s="13" t="str">
        <f t="shared" si="12"/>
        <v>ZeroZero</v>
      </c>
      <c r="B181" s="14" t="s">
        <v>122</v>
      </c>
      <c r="C181" s="15" t="s">
        <v>46</v>
      </c>
      <c r="D181" s="19" t="str">
        <f t="shared" si="13"/>
        <v>前八週無拉料</v>
      </c>
      <c r="E181" s="16" t="str">
        <f t="shared" si="14"/>
        <v>--</v>
      </c>
      <c r="F181" s="16" t="str">
        <f t="shared" si="15"/>
        <v>--</v>
      </c>
      <c r="G181" s="16" t="str">
        <f t="shared" si="16"/>
        <v>--</v>
      </c>
      <c r="H181" s="24" t="str">
        <f>IFERROR(VLOOKUP(B181,#REF!,8,FALSE),"")</f>
        <v/>
      </c>
      <c r="I181" s="17">
        <v>0</v>
      </c>
      <c r="J181" s="17">
        <v>0</v>
      </c>
      <c r="K181" s="24" t="str">
        <f>IFERROR(VLOOKUP(B181,#REF!,11,FALSE),"")</f>
        <v/>
      </c>
      <c r="L181" s="17">
        <v>4900</v>
      </c>
      <c r="M181" s="6" t="s">
        <v>745</v>
      </c>
      <c r="N181" s="18" t="str">
        <f>IFERROR(VLOOKUP(B181,#REF!,13,FALSE),"")</f>
        <v/>
      </c>
      <c r="O181" s="19" t="str">
        <f>IFERROR(VLOOKUP(B181,#REF!,14,FALSE),"")</f>
        <v/>
      </c>
      <c r="P181" s="19" t="str">
        <f>IFERROR(VLOOKUP(B181,#REF!,15,FALSE),"")</f>
        <v/>
      </c>
      <c r="Q181" s="19"/>
      <c r="R181" s="25" t="str">
        <f>IFERROR(VLOOKUP(B181,#REF!,16,FALSE),"")</f>
        <v/>
      </c>
      <c r="S181" s="17">
        <v>0</v>
      </c>
      <c r="T181" s="17">
        <v>4900</v>
      </c>
      <c r="U181" s="17">
        <v>0</v>
      </c>
      <c r="V181" s="17">
        <v>0</v>
      </c>
      <c r="W181" s="20">
        <v>4900</v>
      </c>
      <c r="X181" s="16" t="s">
        <v>40</v>
      </c>
      <c r="Y181" s="21" t="s">
        <v>40</v>
      </c>
      <c r="Z181" s="20">
        <v>0</v>
      </c>
      <c r="AA181" s="17" t="s">
        <v>40</v>
      </c>
      <c r="AB181" s="22" t="s">
        <v>41</v>
      </c>
      <c r="AC181" s="23" t="str">
        <f t="shared" si="17"/>
        <v>E</v>
      </c>
      <c r="AD181" s="17">
        <v>0</v>
      </c>
      <c r="AE181" s="17">
        <v>0</v>
      </c>
      <c r="AF181" s="17">
        <v>0</v>
      </c>
      <c r="AG181" s="17">
        <v>0</v>
      </c>
      <c r="AH181" s="15" t="s">
        <v>42</v>
      </c>
    </row>
    <row r="182" spans="1:34">
      <c r="A182" s="13" t="str">
        <f t="shared" si="12"/>
        <v>FCST</v>
      </c>
      <c r="B182" s="14" t="s">
        <v>672</v>
      </c>
      <c r="C182" s="15" t="s">
        <v>277</v>
      </c>
      <c r="D182" s="19" t="str">
        <f t="shared" si="13"/>
        <v>前八週無拉料</v>
      </c>
      <c r="E182" s="16">
        <f t="shared" si="14"/>
        <v>9</v>
      </c>
      <c r="F182" s="16" t="str">
        <f t="shared" si="15"/>
        <v>--</v>
      </c>
      <c r="G182" s="16">
        <f t="shared" si="16"/>
        <v>0</v>
      </c>
      <c r="H182" s="24" t="str">
        <f>IFERROR(VLOOKUP(B182,#REF!,8,FALSE),"")</f>
        <v/>
      </c>
      <c r="I182" s="17">
        <v>0</v>
      </c>
      <c r="J182" s="17">
        <v>0</v>
      </c>
      <c r="K182" s="24" t="str">
        <f>IFERROR(VLOOKUP(B182,#REF!,11,FALSE),"")</f>
        <v/>
      </c>
      <c r="L182" s="17">
        <v>18000</v>
      </c>
      <c r="M182" s="6" t="s">
        <v>753</v>
      </c>
      <c r="N182" s="18" t="str">
        <f>IFERROR(VLOOKUP(B182,#REF!,13,FALSE),"")</f>
        <v/>
      </c>
      <c r="O182" s="19" t="str">
        <f>IFERROR(VLOOKUP(B182,#REF!,14,FALSE),"")</f>
        <v/>
      </c>
      <c r="P182" s="19" t="str">
        <f>IFERROR(VLOOKUP(B182,#REF!,15,FALSE),"")</f>
        <v/>
      </c>
      <c r="Q182" s="19"/>
      <c r="R182" s="25" t="str">
        <f>IFERROR(VLOOKUP(B182,#REF!,16,FALSE),"")</f>
        <v/>
      </c>
      <c r="S182" s="17">
        <v>0</v>
      </c>
      <c r="T182" s="17">
        <v>6000</v>
      </c>
      <c r="U182" s="17">
        <v>12000</v>
      </c>
      <c r="V182" s="17">
        <v>0</v>
      </c>
      <c r="W182" s="20">
        <v>18000</v>
      </c>
      <c r="X182" s="16" t="s">
        <v>40</v>
      </c>
      <c r="Y182" s="21">
        <v>9</v>
      </c>
      <c r="Z182" s="20">
        <v>0</v>
      </c>
      <c r="AA182" s="17">
        <v>2000</v>
      </c>
      <c r="AB182" s="22" t="s">
        <v>51</v>
      </c>
      <c r="AC182" s="23" t="str">
        <f t="shared" si="17"/>
        <v>F</v>
      </c>
      <c r="AD182" s="17">
        <v>6000</v>
      </c>
      <c r="AE182" s="17">
        <v>3000</v>
      </c>
      <c r="AF182" s="17">
        <v>9000</v>
      </c>
      <c r="AG182" s="17">
        <v>0</v>
      </c>
      <c r="AH182" s="15" t="s">
        <v>42</v>
      </c>
    </row>
    <row r="183" spans="1:34">
      <c r="A183" s="13" t="str">
        <f t="shared" si="12"/>
        <v>ZeroZero</v>
      </c>
      <c r="B183" s="14" t="s">
        <v>391</v>
      </c>
      <c r="C183" s="15" t="s">
        <v>280</v>
      </c>
      <c r="D183" s="19" t="str">
        <f t="shared" si="13"/>
        <v>前八週無拉料</v>
      </c>
      <c r="E183" s="16" t="str">
        <f t="shared" si="14"/>
        <v>--</v>
      </c>
      <c r="F183" s="16" t="str">
        <f t="shared" si="15"/>
        <v>--</v>
      </c>
      <c r="G183" s="16" t="str">
        <f t="shared" si="16"/>
        <v>--</v>
      </c>
      <c r="H183" s="24" t="str">
        <f>IFERROR(VLOOKUP(B183,#REF!,8,FALSE),"")</f>
        <v/>
      </c>
      <c r="I183" s="17">
        <v>213000</v>
      </c>
      <c r="J183" s="17">
        <v>129000</v>
      </c>
      <c r="K183" s="24" t="str">
        <f>IFERROR(VLOOKUP(B183,#REF!,11,FALSE),"")</f>
        <v/>
      </c>
      <c r="L183" s="17">
        <v>27000</v>
      </c>
      <c r="M183" s="6" t="s">
        <v>752</v>
      </c>
      <c r="N183" s="18" t="str">
        <f>IFERROR(VLOOKUP(B183,#REF!,13,FALSE),"")</f>
        <v/>
      </c>
      <c r="O183" s="19" t="str">
        <f>IFERROR(VLOOKUP(B183,#REF!,14,FALSE),"")</f>
        <v/>
      </c>
      <c r="P183" s="19" t="str">
        <f>IFERROR(VLOOKUP(B183,#REF!,15,FALSE),"")</f>
        <v/>
      </c>
      <c r="Q183" s="19"/>
      <c r="R183" s="25" t="str">
        <f>IFERROR(VLOOKUP(B183,#REF!,16,FALSE),"")</f>
        <v/>
      </c>
      <c r="S183" s="17">
        <v>0</v>
      </c>
      <c r="T183" s="17">
        <v>27000</v>
      </c>
      <c r="U183" s="17">
        <v>0</v>
      </c>
      <c r="V183" s="17">
        <v>0</v>
      </c>
      <c r="W183" s="20">
        <v>240000</v>
      </c>
      <c r="X183" s="16" t="s">
        <v>40</v>
      </c>
      <c r="Y183" s="21" t="s">
        <v>40</v>
      </c>
      <c r="Z183" s="20">
        <v>0</v>
      </c>
      <c r="AA183" s="17" t="s">
        <v>40</v>
      </c>
      <c r="AB183" s="22" t="s">
        <v>41</v>
      </c>
      <c r="AC183" s="23" t="str">
        <f t="shared" si="17"/>
        <v>E</v>
      </c>
      <c r="AD183" s="17">
        <v>0</v>
      </c>
      <c r="AE183" s="17">
        <v>0</v>
      </c>
      <c r="AF183" s="17">
        <v>0</v>
      </c>
      <c r="AG183" s="17">
        <v>0</v>
      </c>
      <c r="AH183" s="15" t="s">
        <v>42</v>
      </c>
    </row>
    <row r="184" spans="1:34">
      <c r="A184" s="13" t="str">
        <f t="shared" si="12"/>
        <v>OverStock</v>
      </c>
      <c r="B184" s="14" t="s">
        <v>447</v>
      </c>
      <c r="C184" s="15" t="s">
        <v>280</v>
      </c>
      <c r="D184" s="19">
        <f t="shared" si="13"/>
        <v>16</v>
      </c>
      <c r="E184" s="16">
        <f t="shared" si="14"/>
        <v>26</v>
      </c>
      <c r="F184" s="16">
        <f t="shared" si="15"/>
        <v>160</v>
      </c>
      <c r="G184" s="16">
        <f t="shared" si="16"/>
        <v>259.7</v>
      </c>
      <c r="H184" s="24" t="str">
        <f>IFERROR(VLOOKUP(B184,#REF!,8,FALSE),"")</f>
        <v/>
      </c>
      <c r="I184" s="17">
        <v>60000</v>
      </c>
      <c r="J184" s="17">
        <v>60000</v>
      </c>
      <c r="K184" s="24" t="str">
        <f>IFERROR(VLOOKUP(B184,#REF!,11,FALSE),"")</f>
        <v/>
      </c>
      <c r="L184" s="17">
        <v>6000</v>
      </c>
      <c r="M184" s="6" t="s">
        <v>748</v>
      </c>
      <c r="N184" s="18" t="str">
        <f>IFERROR(VLOOKUP(B184,#REF!,13,FALSE),"")</f>
        <v/>
      </c>
      <c r="O184" s="19" t="str">
        <f>IFERROR(VLOOKUP(B184,#REF!,14,FALSE),"")</f>
        <v/>
      </c>
      <c r="P184" s="19" t="str">
        <f>IFERROR(VLOOKUP(B184,#REF!,15,FALSE),"")</f>
        <v/>
      </c>
      <c r="Q184" s="19"/>
      <c r="R184" s="25" t="str">
        <f>IFERROR(VLOOKUP(B184,#REF!,16,FALSE),"")</f>
        <v/>
      </c>
      <c r="S184" s="17">
        <v>0</v>
      </c>
      <c r="T184" s="17">
        <v>0</v>
      </c>
      <c r="U184" s="17">
        <v>6000</v>
      </c>
      <c r="V184" s="17">
        <v>0</v>
      </c>
      <c r="W184" s="20">
        <v>66000</v>
      </c>
      <c r="X184" s="16">
        <v>176</v>
      </c>
      <c r="Y184" s="21">
        <v>285.7</v>
      </c>
      <c r="Z184" s="20">
        <v>375</v>
      </c>
      <c r="AA184" s="17">
        <v>231</v>
      </c>
      <c r="AB184" s="22">
        <v>0.6</v>
      </c>
      <c r="AC184" s="23">
        <f t="shared" si="17"/>
        <v>100</v>
      </c>
      <c r="AD184" s="17">
        <v>0</v>
      </c>
      <c r="AE184" s="17">
        <v>1681</v>
      </c>
      <c r="AF184" s="17">
        <v>400</v>
      </c>
      <c r="AG184" s="17">
        <v>1600</v>
      </c>
      <c r="AH184" s="15" t="s">
        <v>42</v>
      </c>
    </row>
    <row r="185" spans="1:34">
      <c r="A185" s="13" t="str">
        <f t="shared" si="12"/>
        <v>ZeroZero</v>
      </c>
      <c r="B185" s="14" t="s">
        <v>400</v>
      </c>
      <c r="C185" s="15" t="s">
        <v>280</v>
      </c>
      <c r="D185" s="19" t="str">
        <f t="shared" si="13"/>
        <v>前八週無拉料</v>
      </c>
      <c r="E185" s="16" t="str">
        <f t="shared" si="14"/>
        <v>--</v>
      </c>
      <c r="F185" s="16" t="str">
        <f t="shared" si="15"/>
        <v>--</v>
      </c>
      <c r="G185" s="16" t="str">
        <f t="shared" si="16"/>
        <v>--</v>
      </c>
      <c r="H185" s="24" t="str">
        <f>IFERROR(VLOOKUP(B185,#REF!,8,FALSE),"")</f>
        <v/>
      </c>
      <c r="I185" s="17">
        <v>0</v>
      </c>
      <c r="J185" s="17">
        <v>0</v>
      </c>
      <c r="K185" s="24" t="str">
        <f>IFERROR(VLOOKUP(B185,#REF!,11,FALSE),"")</f>
        <v/>
      </c>
      <c r="L185" s="17">
        <v>21000</v>
      </c>
      <c r="M185" s="6" t="s">
        <v>752</v>
      </c>
      <c r="N185" s="18" t="str">
        <f>IFERROR(VLOOKUP(B185,#REF!,13,FALSE),"")</f>
        <v/>
      </c>
      <c r="O185" s="19" t="str">
        <f>IFERROR(VLOOKUP(B185,#REF!,14,FALSE),"")</f>
        <v/>
      </c>
      <c r="P185" s="19" t="str">
        <f>IFERROR(VLOOKUP(B185,#REF!,15,FALSE),"")</f>
        <v/>
      </c>
      <c r="Q185" s="19"/>
      <c r="R185" s="25" t="str">
        <f>IFERROR(VLOOKUP(B185,#REF!,16,FALSE),"")</f>
        <v/>
      </c>
      <c r="S185" s="17">
        <v>0</v>
      </c>
      <c r="T185" s="17">
        <v>21000</v>
      </c>
      <c r="U185" s="17">
        <v>0</v>
      </c>
      <c r="V185" s="17">
        <v>0</v>
      </c>
      <c r="W185" s="20">
        <v>21000</v>
      </c>
      <c r="X185" s="16" t="s">
        <v>40</v>
      </c>
      <c r="Y185" s="21" t="s">
        <v>40</v>
      </c>
      <c r="Z185" s="20">
        <v>0</v>
      </c>
      <c r="AA185" s="17" t="s">
        <v>40</v>
      </c>
      <c r="AB185" s="22" t="s">
        <v>41</v>
      </c>
      <c r="AC185" s="23" t="str">
        <f t="shared" si="17"/>
        <v>E</v>
      </c>
      <c r="AD185" s="17">
        <v>0</v>
      </c>
      <c r="AE185" s="17">
        <v>0</v>
      </c>
      <c r="AF185" s="17">
        <v>0</v>
      </c>
      <c r="AG185" s="17">
        <v>0</v>
      </c>
      <c r="AH185" s="15" t="s">
        <v>42</v>
      </c>
    </row>
    <row r="186" spans="1:34">
      <c r="A186" s="13" t="str">
        <f t="shared" si="12"/>
        <v>ZeroZero</v>
      </c>
      <c r="B186" s="14" t="s">
        <v>570</v>
      </c>
      <c r="C186" s="15" t="s">
        <v>277</v>
      </c>
      <c r="D186" s="19" t="str">
        <f t="shared" si="13"/>
        <v>前八週無拉料</v>
      </c>
      <c r="E186" s="16" t="str">
        <f t="shared" si="14"/>
        <v>--</v>
      </c>
      <c r="F186" s="16" t="str">
        <f t="shared" si="15"/>
        <v>--</v>
      </c>
      <c r="G186" s="16" t="str">
        <f t="shared" si="16"/>
        <v>--</v>
      </c>
      <c r="H186" s="24" t="str">
        <f>IFERROR(VLOOKUP(B186,#REF!,8,FALSE),"")</f>
        <v/>
      </c>
      <c r="I186" s="17">
        <v>0</v>
      </c>
      <c r="J186" s="17">
        <v>0</v>
      </c>
      <c r="K186" s="24" t="str">
        <f>IFERROR(VLOOKUP(B186,#REF!,11,FALSE),"")</f>
        <v/>
      </c>
      <c r="L186" s="17">
        <v>4500</v>
      </c>
      <c r="M186" s="6" t="s">
        <v>748</v>
      </c>
      <c r="N186" s="18" t="str">
        <f>IFERROR(VLOOKUP(B186,#REF!,13,FALSE),"")</f>
        <v/>
      </c>
      <c r="O186" s="19" t="str">
        <f>IFERROR(VLOOKUP(B186,#REF!,14,FALSE),"")</f>
        <v/>
      </c>
      <c r="P186" s="19" t="str">
        <f>IFERROR(VLOOKUP(B186,#REF!,15,FALSE),"")</f>
        <v/>
      </c>
      <c r="Q186" s="19"/>
      <c r="R186" s="25" t="str">
        <f>IFERROR(VLOOKUP(B186,#REF!,16,FALSE),"")</f>
        <v/>
      </c>
      <c r="S186" s="17">
        <v>0</v>
      </c>
      <c r="T186" s="17">
        <v>4500</v>
      </c>
      <c r="U186" s="17">
        <v>0</v>
      </c>
      <c r="V186" s="17">
        <v>0</v>
      </c>
      <c r="W186" s="20">
        <v>4500</v>
      </c>
      <c r="X186" s="16" t="s">
        <v>40</v>
      </c>
      <c r="Y186" s="21" t="s">
        <v>40</v>
      </c>
      <c r="Z186" s="20">
        <v>0</v>
      </c>
      <c r="AA186" s="17" t="s">
        <v>40</v>
      </c>
      <c r="AB186" s="22" t="s">
        <v>41</v>
      </c>
      <c r="AC186" s="23" t="str">
        <f t="shared" si="17"/>
        <v>E</v>
      </c>
      <c r="AD186" s="17">
        <v>0</v>
      </c>
      <c r="AE186" s="17">
        <v>0</v>
      </c>
      <c r="AF186" s="17">
        <v>0</v>
      </c>
      <c r="AG186" s="17">
        <v>0</v>
      </c>
      <c r="AH186" s="15" t="s">
        <v>42</v>
      </c>
    </row>
    <row r="187" spans="1:34">
      <c r="A187" s="13" t="str">
        <f t="shared" si="12"/>
        <v>ZeroZero</v>
      </c>
      <c r="B187" s="14" t="s">
        <v>545</v>
      </c>
      <c r="C187" s="15" t="s">
        <v>269</v>
      </c>
      <c r="D187" s="19" t="str">
        <f t="shared" si="13"/>
        <v>前八週無拉料</v>
      </c>
      <c r="E187" s="16" t="str">
        <f t="shared" si="14"/>
        <v>--</v>
      </c>
      <c r="F187" s="16" t="str">
        <f t="shared" si="15"/>
        <v>--</v>
      </c>
      <c r="G187" s="16" t="str">
        <f t="shared" si="16"/>
        <v>--</v>
      </c>
      <c r="H187" s="24" t="str">
        <f>IFERROR(VLOOKUP(B187,#REF!,8,FALSE),"")</f>
        <v/>
      </c>
      <c r="I187" s="17">
        <v>0</v>
      </c>
      <c r="J187" s="17">
        <v>0</v>
      </c>
      <c r="K187" s="24" t="str">
        <f>IFERROR(VLOOKUP(B187,#REF!,11,FALSE),"")</f>
        <v/>
      </c>
      <c r="L187" s="17">
        <v>7000</v>
      </c>
      <c r="M187" s="6" t="s">
        <v>748</v>
      </c>
      <c r="N187" s="18" t="str">
        <f>IFERROR(VLOOKUP(B187,#REF!,13,FALSE),"")</f>
        <v/>
      </c>
      <c r="O187" s="19" t="str">
        <f>IFERROR(VLOOKUP(B187,#REF!,14,FALSE),"")</f>
        <v/>
      </c>
      <c r="P187" s="19" t="str">
        <f>IFERROR(VLOOKUP(B187,#REF!,15,FALSE),"")</f>
        <v/>
      </c>
      <c r="Q187" s="19"/>
      <c r="R187" s="25" t="str">
        <f>IFERROR(VLOOKUP(B187,#REF!,16,FALSE),"")</f>
        <v/>
      </c>
      <c r="S187" s="17">
        <v>0</v>
      </c>
      <c r="T187" s="17">
        <v>7000</v>
      </c>
      <c r="U187" s="17">
        <v>0</v>
      </c>
      <c r="V187" s="17">
        <v>0</v>
      </c>
      <c r="W187" s="20">
        <v>7000</v>
      </c>
      <c r="X187" s="16" t="s">
        <v>40</v>
      </c>
      <c r="Y187" s="21" t="s">
        <v>40</v>
      </c>
      <c r="Z187" s="20">
        <v>0</v>
      </c>
      <c r="AA187" s="17" t="s">
        <v>40</v>
      </c>
      <c r="AB187" s="22" t="s">
        <v>41</v>
      </c>
      <c r="AC187" s="23" t="str">
        <f t="shared" si="17"/>
        <v>E</v>
      </c>
      <c r="AD187" s="17">
        <v>0</v>
      </c>
      <c r="AE187" s="17">
        <v>0</v>
      </c>
      <c r="AF187" s="17">
        <v>0</v>
      </c>
      <c r="AG187" s="17">
        <v>0</v>
      </c>
      <c r="AH187" s="15" t="s">
        <v>42</v>
      </c>
    </row>
    <row r="188" spans="1:34">
      <c r="A188" s="13" t="str">
        <f t="shared" si="12"/>
        <v>ZeroZero</v>
      </c>
      <c r="B188" s="14" t="s">
        <v>136</v>
      </c>
      <c r="C188" s="15" t="s">
        <v>46</v>
      </c>
      <c r="D188" s="19" t="str">
        <f t="shared" si="13"/>
        <v>前八週無拉料</v>
      </c>
      <c r="E188" s="16" t="str">
        <f t="shared" si="14"/>
        <v>--</v>
      </c>
      <c r="F188" s="16" t="str">
        <f t="shared" si="15"/>
        <v>--</v>
      </c>
      <c r="G188" s="16" t="str">
        <f t="shared" si="16"/>
        <v>--</v>
      </c>
      <c r="H188" s="24" t="str">
        <f>IFERROR(VLOOKUP(B188,#REF!,8,FALSE),"")</f>
        <v/>
      </c>
      <c r="I188" s="17">
        <v>0</v>
      </c>
      <c r="J188" s="17">
        <v>0</v>
      </c>
      <c r="K188" s="24" t="str">
        <f>IFERROR(VLOOKUP(B188,#REF!,11,FALSE),"")</f>
        <v/>
      </c>
      <c r="L188" s="17">
        <v>8700</v>
      </c>
      <c r="M188" s="6" t="s">
        <v>745</v>
      </c>
      <c r="N188" s="18" t="str">
        <f>IFERROR(VLOOKUP(B188,#REF!,13,FALSE),"")</f>
        <v/>
      </c>
      <c r="O188" s="19" t="str">
        <f>IFERROR(VLOOKUP(B188,#REF!,14,FALSE),"")</f>
        <v/>
      </c>
      <c r="P188" s="19" t="str">
        <f>IFERROR(VLOOKUP(B188,#REF!,15,FALSE),"")</f>
        <v/>
      </c>
      <c r="Q188" s="19"/>
      <c r="R188" s="25" t="str">
        <f>IFERROR(VLOOKUP(B188,#REF!,16,FALSE),"")</f>
        <v/>
      </c>
      <c r="S188" s="17">
        <v>0</v>
      </c>
      <c r="T188" s="17">
        <v>8700</v>
      </c>
      <c r="U188" s="17">
        <v>0</v>
      </c>
      <c r="V188" s="17">
        <v>0</v>
      </c>
      <c r="W188" s="20">
        <v>8700</v>
      </c>
      <c r="X188" s="16" t="s">
        <v>40</v>
      </c>
      <c r="Y188" s="21" t="s">
        <v>40</v>
      </c>
      <c r="Z188" s="20">
        <v>0</v>
      </c>
      <c r="AA188" s="17" t="s">
        <v>40</v>
      </c>
      <c r="AB188" s="22" t="s">
        <v>41</v>
      </c>
      <c r="AC188" s="23" t="str">
        <f t="shared" si="17"/>
        <v>E</v>
      </c>
      <c r="AD188" s="17">
        <v>0</v>
      </c>
      <c r="AE188" s="17">
        <v>0</v>
      </c>
      <c r="AF188" s="17">
        <v>0</v>
      </c>
      <c r="AG188" s="17">
        <v>0</v>
      </c>
      <c r="AH188" s="15" t="s">
        <v>42</v>
      </c>
    </row>
    <row r="189" spans="1:34">
      <c r="A189" s="13" t="str">
        <f t="shared" si="12"/>
        <v>ZeroZero</v>
      </c>
      <c r="B189" s="14" t="s">
        <v>319</v>
      </c>
      <c r="C189" s="15" t="s">
        <v>280</v>
      </c>
      <c r="D189" s="19" t="str">
        <f t="shared" si="13"/>
        <v>前八週無拉料</v>
      </c>
      <c r="E189" s="16" t="str">
        <f t="shared" si="14"/>
        <v>--</v>
      </c>
      <c r="F189" s="16" t="str">
        <f t="shared" si="15"/>
        <v>--</v>
      </c>
      <c r="G189" s="16" t="str">
        <f t="shared" si="16"/>
        <v>--</v>
      </c>
      <c r="H189" s="24" t="str">
        <f>IFERROR(VLOOKUP(B189,#REF!,8,FALSE),"")</f>
        <v/>
      </c>
      <c r="I189" s="17">
        <v>0</v>
      </c>
      <c r="J189" s="17">
        <v>0</v>
      </c>
      <c r="K189" s="24" t="str">
        <f>IFERROR(VLOOKUP(B189,#REF!,11,FALSE),"")</f>
        <v/>
      </c>
      <c r="L189" s="17">
        <v>6000</v>
      </c>
      <c r="M189" s="6" t="s">
        <v>752</v>
      </c>
      <c r="N189" s="18" t="str">
        <f>IFERROR(VLOOKUP(B189,#REF!,13,FALSE),"")</f>
        <v/>
      </c>
      <c r="O189" s="19" t="str">
        <f>IFERROR(VLOOKUP(B189,#REF!,14,FALSE),"")</f>
        <v/>
      </c>
      <c r="P189" s="19" t="str">
        <f>IFERROR(VLOOKUP(B189,#REF!,15,FALSE),"")</f>
        <v/>
      </c>
      <c r="Q189" s="19"/>
      <c r="R189" s="25" t="str">
        <f>IFERROR(VLOOKUP(B189,#REF!,16,FALSE),"")</f>
        <v/>
      </c>
      <c r="S189" s="17">
        <v>0</v>
      </c>
      <c r="T189" s="17">
        <v>6000</v>
      </c>
      <c r="U189" s="17">
        <v>0</v>
      </c>
      <c r="V189" s="17">
        <v>0</v>
      </c>
      <c r="W189" s="20">
        <v>6000</v>
      </c>
      <c r="X189" s="16" t="s">
        <v>40</v>
      </c>
      <c r="Y189" s="21" t="s">
        <v>40</v>
      </c>
      <c r="Z189" s="20">
        <v>0</v>
      </c>
      <c r="AA189" s="17">
        <v>0</v>
      </c>
      <c r="AB189" s="22" t="s">
        <v>41</v>
      </c>
      <c r="AC189" s="23" t="str">
        <f t="shared" si="17"/>
        <v>E</v>
      </c>
      <c r="AD189" s="17">
        <v>0</v>
      </c>
      <c r="AE189" s="17">
        <v>0</v>
      </c>
      <c r="AF189" s="17">
        <v>0</v>
      </c>
      <c r="AG189" s="17">
        <v>3000</v>
      </c>
      <c r="AH189" s="15" t="s">
        <v>42</v>
      </c>
    </row>
    <row r="190" spans="1:34">
      <c r="A190" s="13" t="str">
        <f t="shared" si="12"/>
        <v>OverStock</v>
      </c>
      <c r="B190" s="14" t="s">
        <v>376</v>
      </c>
      <c r="C190" s="15" t="s">
        <v>280</v>
      </c>
      <c r="D190" s="19">
        <f t="shared" si="13"/>
        <v>24</v>
      </c>
      <c r="E190" s="16" t="str">
        <f t="shared" si="14"/>
        <v>--</v>
      </c>
      <c r="F190" s="16">
        <f t="shared" si="15"/>
        <v>95.8</v>
      </c>
      <c r="G190" s="16" t="str">
        <f t="shared" si="16"/>
        <v>--</v>
      </c>
      <c r="H190" s="24" t="str">
        <f>IFERROR(VLOOKUP(B190,#REF!,8,FALSE),"")</f>
        <v/>
      </c>
      <c r="I190" s="17">
        <v>30000</v>
      </c>
      <c r="J190" s="17">
        <v>30000</v>
      </c>
      <c r="K190" s="24" t="str">
        <f>IFERROR(VLOOKUP(B190,#REF!,11,FALSE),"")</f>
        <v/>
      </c>
      <c r="L190" s="17">
        <v>7500</v>
      </c>
      <c r="M190" s="6" t="s">
        <v>748</v>
      </c>
      <c r="N190" s="18" t="str">
        <f>IFERROR(VLOOKUP(B190,#REF!,13,FALSE),"")</f>
        <v/>
      </c>
      <c r="O190" s="19" t="str">
        <f>IFERROR(VLOOKUP(B190,#REF!,14,FALSE),"")</f>
        <v/>
      </c>
      <c r="P190" s="19" t="str">
        <f>IFERROR(VLOOKUP(B190,#REF!,15,FALSE),"")</f>
        <v/>
      </c>
      <c r="Q190" s="19"/>
      <c r="R190" s="25" t="str">
        <f>IFERROR(VLOOKUP(B190,#REF!,16,FALSE),"")</f>
        <v/>
      </c>
      <c r="S190" s="17">
        <v>0</v>
      </c>
      <c r="T190" s="17">
        <v>7500</v>
      </c>
      <c r="U190" s="17">
        <v>0</v>
      </c>
      <c r="V190" s="17">
        <v>0</v>
      </c>
      <c r="W190" s="20">
        <v>37500</v>
      </c>
      <c r="X190" s="16">
        <v>119.8</v>
      </c>
      <c r="Y190" s="21" t="s">
        <v>40</v>
      </c>
      <c r="Z190" s="20">
        <v>313</v>
      </c>
      <c r="AA190" s="17" t="s">
        <v>40</v>
      </c>
      <c r="AB190" s="22" t="s">
        <v>41</v>
      </c>
      <c r="AC190" s="23" t="str">
        <f t="shared" si="17"/>
        <v>E</v>
      </c>
      <c r="AD190" s="17">
        <v>0</v>
      </c>
      <c r="AE190" s="17">
        <v>0</v>
      </c>
      <c r="AF190" s="17">
        <v>0</v>
      </c>
      <c r="AG190" s="17">
        <v>0</v>
      </c>
      <c r="AH190" s="15" t="s">
        <v>42</v>
      </c>
    </row>
    <row r="191" spans="1:34">
      <c r="A191" s="13" t="str">
        <f t="shared" si="12"/>
        <v>ZeroZero</v>
      </c>
      <c r="B191" s="14" t="s">
        <v>396</v>
      </c>
      <c r="C191" s="15" t="s">
        <v>280</v>
      </c>
      <c r="D191" s="19" t="str">
        <f t="shared" si="13"/>
        <v>前八週無拉料</v>
      </c>
      <c r="E191" s="16" t="str">
        <f t="shared" si="14"/>
        <v>--</v>
      </c>
      <c r="F191" s="16" t="str">
        <f t="shared" si="15"/>
        <v>--</v>
      </c>
      <c r="G191" s="16" t="str">
        <f t="shared" si="16"/>
        <v>--</v>
      </c>
      <c r="H191" s="24" t="str">
        <f>IFERROR(VLOOKUP(B191,#REF!,8,FALSE),"")</f>
        <v/>
      </c>
      <c r="I191" s="17">
        <v>3000</v>
      </c>
      <c r="J191" s="17">
        <v>3000</v>
      </c>
      <c r="K191" s="24" t="str">
        <f>IFERROR(VLOOKUP(B191,#REF!,11,FALSE),"")</f>
        <v/>
      </c>
      <c r="L191" s="17">
        <v>9000</v>
      </c>
      <c r="M191" s="6" t="s">
        <v>755</v>
      </c>
      <c r="N191" s="18" t="str">
        <f>IFERROR(VLOOKUP(B191,#REF!,13,FALSE),"")</f>
        <v/>
      </c>
      <c r="O191" s="19" t="str">
        <f>IFERROR(VLOOKUP(B191,#REF!,14,FALSE),"")</f>
        <v/>
      </c>
      <c r="P191" s="19" t="str">
        <f>IFERROR(VLOOKUP(B191,#REF!,15,FALSE),"")</f>
        <v/>
      </c>
      <c r="Q191" s="19"/>
      <c r="R191" s="25" t="str">
        <f>IFERROR(VLOOKUP(B191,#REF!,16,FALSE),"")</f>
        <v/>
      </c>
      <c r="S191" s="17">
        <v>0</v>
      </c>
      <c r="T191" s="17">
        <v>9000</v>
      </c>
      <c r="U191" s="17">
        <v>0</v>
      </c>
      <c r="V191" s="17">
        <v>0</v>
      </c>
      <c r="W191" s="20">
        <v>12000</v>
      </c>
      <c r="X191" s="16" t="s">
        <v>40</v>
      </c>
      <c r="Y191" s="21" t="s">
        <v>40</v>
      </c>
      <c r="Z191" s="20">
        <v>0</v>
      </c>
      <c r="AA191" s="17" t="s">
        <v>40</v>
      </c>
      <c r="AB191" s="22" t="s">
        <v>41</v>
      </c>
      <c r="AC191" s="23" t="str">
        <f t="shared" si="17"/>
        <v>E</v>
      </c>
      <c r="AD191" s="17">
        <v>0</v>
      </c>
      <c r="AE191" s="17">
        <v>0</v>
      </c>
      <c r="AF191" s="17">
        <v>0</v>
      </c>
      <c r="AG191" s="17">
        <v>0</v>
      </c>
      <c r="AH191" s="15" t="s">
        <v>42</v>
      </c>
    </row>
    <row r="192" spans="1:34">
      <c r="A192" s="13" t="str">
        <f t="shared" si="12"/>
        <v>ZeroZero</v>
      </c>
      <c r="B192" s="14" t="s">
        <v>109</v>
      </c>
      <c r="C192" s="15" t="s">
        <v>46</v>
      </c>
      <c r="D192" s="19" t="str">
        <f t="shared" si="13"/>
        <v>前八週無拉料</v>
      </c>
      <c r="E192" s="16" t="str">
        <f t="shared" si="14"/>
        <v>--</v>
      </c>
      <c r="F192" s="16" t="str">
        <f t="shared" si="15"/>
        <v>--</v>
      </c>
      <c r="G192" s="16" t="str">
        <f t="shared" si="16"/>
        <v>--</v>
      </c>
      <c r="H192" s="24" t="str">
        <f>IFERROR(VLOOKUP(B192,#REF!,8,FALSE),"")</f>
        <v/>
      </c>
      <c r="I192" s="17">
        <v>0</v>
      </c>
      <c r="J192" s="17">
        <v>0</v>
      </c>
      <c r="K192" s="24" t="str">
        <f>IFERROR(VLOOKUP(B192,#REF!,11,FALSE),"")</f>
        <v/>
      </c>
      <c r="L192" s="17">
        <v>5000</v>
      </c>
      <c r="M192" s="6" t="s">
        <v>745</v>
      </c>
      <c r="N192" s="18" t="str">
        <f>IFERROR(VLOOKUP(B192,#REF!,13,FALSE),"")</f>
        <v/>
      </c>
      <c r="O192" s="19" t="str">
        <f>IFERROR(VLOOKUP(B192,#REF!,14,FALSE),"")</f>
        <v/>
      </c>
      <c r="P192" s="19" t="str">
        <f>IFERROR(VLOOKUP(B192,#REF!,15,FALSE),"")</f>
        <v/>
      </c>
      <c r="Q192" s="19"/>
      <c r="R192" s="25" t="str">
        <f>IFERROR(VLOOKUP(B192,#REF!,16,FALSE),"")</f>
        <v/>
      </c>
      <c r="S192" s="17">
        <v>0</v>
      </c>
      <c r="T192" s="17">
        <v>5000</v>
      </c>
      <c r="U192" s="17">
        <v>0</v>
      </c>
      <c r="V192" s="17">
        <v>0</v>
      </c>
      <c r="W192" s="20">
        <v>5000</v>
      </c>
      <c r="X192" s="16" t="s">
        <v>40</v>
      </c>
      <c r="Y192" s="21" t="s">
        <v>40</v>
      </c>
      <c r="Z192" s="20">
        <v>0</v>
      </c>
      <c r="AA192" s="17" t="s">
        <v>40</v>
      </c>
      <c r="AB192" s="22" t="s">
        <v>41</v>
      </c>
      <c r="AC192" s="23" t="str">
        <f t="shared" si="17"/>
        <v>E</v>
      </c>
      <c r="AD192" s="17">
        <v>0</v>
      </c>
      <c r="AE192" s="17">
        <v>0</v>
      </c>
      <c r="AF192" s="17">
        <v>0</v>
      </c>
      <c r="AG192" s="17">
        <v>0</v>
      </c>
      <c r="AH192" s="15" t="s">
        <v>42</v>
      </c>
    </row>
    <row r="193" spans="1:34">
      <c r="A193" s="13" t="str">
        <f t="shared" si="12"/>
        <v>ZeroZero</v>
      </c>
      <c r="B193" s="14" t="s">
        <v>599</v>
      </c>
      <c r="C193" s="15" t="s">
        <v>277</v>
      </c>
      <c r="D193" s="19" t="str">
        <f t="shared" si="13"/>
        <v>前八週無拉料</v>
      </c>
      <c r="E193" s="16" t="str">
        <f t="shared" si="14"/>
        <v>--</v>
      </c>
      <c r="F193" s="16" t="str">
        <f t="shared" si="15"/>
        <v>--</v>
      </c>
      <c r="G193" s="16" t="str">
        <f t="shared" si="16"/>
        <v>--</v>
      </c>
      <c r="H193" s="24" t="str">
        <f>IFERROR(VLOOKUP(B193,#REF!,8,FALSE),"")</f>
        <v/>
      </c>
      <c r="I193" s="17">
        <v>0</v>
      </c>
      <c r="J193" s="17">
        <v>0</v>
      </c>
      <c r="K193" s="24" t="str">
        <f>IFERROR(VLOOKUP(B193,#REF!,11,FALSE),"")</f>
        <v/>
      </c>
      <c r="L193" s="17">
        <v>12000</v>
      </c>
      <c r="M193" s="6" t="s">
        <v>748</v>
      </c>
      <c r="N193" s="18" t="str">
        <f>IFERROR(VLOOKUP(B193,#REF!,13,FALSE),"")</f>
        <v/>
      </c>
      <c r="O193" s="19" t="str">
        <f>IFERROR(VLOOKUP(B193,#REF!,14,FALSE),"")</f>
        <v/>
      </c>
      <c r="P193" s="19" t="str">
        <f>IFERROR(VLOOKUP(B193,#REF!,15,FALSE),"")</f>
        <v/>
      </c>
      <c r="Q193" s="19"/>
      <c r="R193" s="25" t="str">
        <f>IFERROR(VLOOKUP(B193,#REF!,16,FALSE),"")</f>
        <v/>
      </c>
      <c r="S193" s="17">
        <v>0</v>
      </c>
      <c r="T193" s="17">
        <v>12000</v>
      </c>
      <c r="U193" s="17">
        <v>0</v>
      </c>
      <c r="V193" s="17">
        <v>0</v>
      </c>
      <c r="W193" s="20">
        <v>12000</v>
      </c>
      <c r="X193" s="16" t="s">
        <v>40</v>
      </c>
      <c r="Y193" s="21" t="s">
        <v>40</v>
      </c>
      <c r="Z193" s="20">
        <v>0</v>
      </c>
      <c r="AA193" s="17" t="s">
        <v>40</v>
      </c>
      <c r="AB193" s="22" t="s">
        <v>41</v>
      </c>
      <c r="AC193" s="23" t="str">
        <f t="shared" si="17"/>
        <v>E</v>
      </c>
      <c r="AD193" s="17">
        <v>0</v>
      </c>
      <c r="AE193" s="17">
        <v>0</v>
      </c>
      <c r="AF193" s="17">
        <v>0</v>
      </c>
      <c r="AG193" s="17">
        <v>0</v>
      </c>
      <c r="AH193" s="15" t="s">
        <v>42</v>
      </c>
    </row>
    <row r="194" spans="1:34">
      <c r="A194" s="13" t="str">
        <f t="shared" si="12"/>
        <v>ZeroZero</v>
      </c>
      <c r="B194" s="14" t="s">
        <v>441</v>
      </c>
      <c r="C194" s="15" t="s">
        <v>280</v>
      </c>
      <c r="D194" s="19" t="str">
        <f t="shared" si="13"/>
        <v>前八週無拉料</v>
      </c>
      <c r="E194" s="16" t="str">
        <f t="shared" si="14"/>
        <v>--</v>
      </c>
      <c r="F194" s="16" t="str">
        <f t="shared" si="15"/>
        <v>--</v>
      </c>
      <c r="G194" s="16" t="str">
        <f t="shared" si="16"/>
        <v>--</v>
      </c>
      <c r="H194" s="24" t="str">
        <f>IFERROR(VLOOKUP(B194,#REF!,8,FALSE),"")</f>
        <v/>
      </c>
      <c r="I194" s="17">
        <v>0</v>
      </c>
      <c r="J194" s="17">
        <v>0</v>
      </c>
      <c r="K194" s="24" t="str">
        <f>IFERROR(VLOOKUP(B194,#REF!,11,FALSE),"")</f>
        <v/>
      </c>
      <c r="L194" s="17">
        <v>6000</v>
      </c>
      <c r="M194" s="6" t="s">
        <v>748</v>
      </c>
      <c r="N194" s="18" t="str">
        <f>IFERROR(VLOOKUP(B194,#REF!,13,FALSE),"")</f>
        <v/>
      </c>
      <c r="O194" s="19" t="str">
        <f>IFERROR(VLOOKUP(B194,#REF!,14,FALSE),"")</f>
        <v/>
      </c>
      <c r="P194" s="19" t="str">
        <f>IFERROR(VLOOKUP(B194,#REF!,15,FALSE),"")</f>
        <v/>
      </c>
      <c r="Q194" s="19"/>
      <c r="R194" s="25" t="str">
        <f>IFERROR(VLOOKUP(B194,#REF!,16,FALSE),"")</f>
        <v/>
      </c>
      <c r="S194" s="17">
        <v>0</v>
      </c>
      <c r="T194" s="17">
        <v>6000</v>
      </c>
      <c r="U194" s="17">
        <v>0</v>
      </c>
      <c r="V194" s="17">
        <v>0</v>
      </c>
      <c r="W194" s="20">
        <v>6000</v>
      </c>
      <c r="X194" s="16" t="s">
        <v>40</v>
      </c>
      <c r="Y194" s="21" t="s">
        <v>40</v>
      </c>
      <c r="Z194" s="20">
        <v>0</v>
      </c>
      <c r="AA194" s="17" t="s">
        <v>40</v>
      </c>
      <c r="AB194" s="22" t="s">
        <v>41</v>
      </c>
      <c r="AC194" s="23" t="str">
        <f t="shared" si="17"/>
        <v>E</v>
      </c>
      <c r="AD194" s="17">
        <v>0</v>
      </c>
      <c r="AE194" s="17">
        <v>0</v>
      </c>
      <c r="AF194" s="17">
        <v>0</v>
      </c>
      <c r="AG194" s="17">
        <v>0</v>
      </c>
      <c r="AH194" s="15" t="s">
        <v>42</v>
      </c>
    </row>
    <row r="195" spans="1:34">
      <c r="A195" s="13" t="str">
        <f t="shared" si="12"/>
        <v>ZeroZero</v>
      </c>
      <c r="B195" s="14" t="s">
        <v>703</v>
      </c>
      <c r="C195" s="15" t="s">
        <v>277</v>
      </c>
      <c r="D195" s="19" t="str">
        <f t="shared" si="13"/>
        <v>前八週無拉料</v>
      </c>
      <c r="E195" s="16" t="str">
        <f t="shared" si="14"/>
        <v>--</v>
      </c>
      <c r="F195" s="16" t="str">
        <f t="shared" si="15"/>
        <v>--</v>
      </c>
      <c r="G195" s="16" t="str">
        <f t="shared" si="16"/>
        <v>--</v>
      </c>
      <c r="H195" s="24" t="str">
        <f>IFERROR(VLOOKUP(B195,#REF!,8,FALSE),"")</f>
        <v/>
      </c>
      <c r="I195" s="17">
        <v>0</v>
      </c>
      <c r="J195" s="17">
        <v>0</v>
      </c>
      <c r="K195" s="24" t="str">
        <f>IFERROR(VLOOKUP(B195,#REF!,11,FALSE),"")</f>
        <v/>
      </c>
      <c r="L195" s="17">
        <v>3000</v>
      </c>
      <c r="M195" s="6" t="s">
        <v>758</v>
      </c>
      <c r="N195" s="18" t="str">
        <f>IFERROR(VLOOKUP(B195,#REF!,13,FALSE),"")</f>
        <v/>
      </c>
      <c r="O195" s="19" t="str">
        <f>IFERROR(VLOOKUP(B195,#REF!,14,FALSE),"")</f>
        <v/>
      </c>
      <c r="P195" s="19" t="str">
        <f>IFERROR(VLOOKUP(B195,#REF!,15,FALSE),"")</f>
        <v/>
      </c>
      <c r="Q195" s="19"/>
      <c r="R195" s="25" t="str">
        <f>IFERROR(VLOOKUP(B195,#REF!,16,FALSE),"")</f>
        <v/>
      </c>
      <c r="S195" s="17">
        <v>0</v>
      </c>
      <c r="T195" s="17">
        <v>3000</v>
      </c>
      <c r="U195" s="17">
        <v>0</v>
      </c>
      <c r="V195" s="17">
        <v>0</v>
      </c>
      <c r="W195" s="20">
        <v>3000</v>
      </c>
      <c r="X195" s="16" t="s">
        <v>40</v>
      </c>
      <c r="Y195" s="21" t="s">
        <v>40</v>
      </c>
      <c r="Z195" s="20">
        <v>0</v>
      </c>
      <c r="AA195" s="17" t="s">
        <v>40</v>
      </c>
      <c r="AB195" s="22" t="s">
        <v>41</v>
      </c>
      <c r="AC195" s="23" t="str">
        <f t="shared" si="17"/>
        <v>E</v>
      </c>
      <c r="AD195" s="17">
        <v>0</v>
      </c>
      <c r="AE195" s="17">
        <v>0</v>
      </c>
      <c r="AF195" s="17">
        <v>0</v>
      </c>
      <c r="AG195" s="17">
        <v>0</v>
      </c>
      <c r="AH195" s="15" t="s">
        <v>42</v>
      </c>
    </row>
    <row r="196" spans="1:34">
      <c r="A196" s="13" t="str">
        <f t="shared" ref="A196:A259" si="18">IF(OR(Z196=0,LEN(Z196)=0)*OR(AA196=0,LEN(AA196)=0),IF(W196&gt;0,"ZeroZero","None"),IF(IF(LEN(X196)=0,0,X196)&gt;16,"OverStock",IF(Z196=0,"FCST","Normal")))</f>
        <v>ZeroZero</v>
      </c>
      <c r="B196" s="14" t="s">
        <v>80</v>
      </c>
      <c r="C196" s="15" t="s">
        <v>46</v>
      </c>
      <c r="D196" s="19" t="str">
        <f t="shared" ref="D196:D259" si="19">IF(Z196=0,"前八週無拉料",ROUND(L196/Z196,1))</f>
        <v>前八週無拉料</v>
      </c>
      <c r="E196" s="16" t="str">
        <f t="shared" ref="E196:E259" si="20">IF(OR(AA196=0,LEN(AA196)=0),"--",ROUND(L196/AA196,1))</f>
        <v>--</v>
      </c>
      <c r="F196" s="16" t="str">
        <f t="shared" ref="F196:F259" si="21">IF(Z196=0,"--",ROUND(I196/Z196,1))</f>
        <v>--</v>
      </c>
      <c r="G196" s="16" t="str">
        <f t="shared" ref="G196:G259" si="22">IF(OR(AA196=0,LEN(AA196)=0),"--",ROUND(I196/AA196,1))</f>
        <v>--</v>
      </c>
      <c r="H196" s="24" t="str">
        <f>IFERROR(VLOOKUP(B196,#REF!,8,FALSE),"")</f>
        <v/>
      </c>
      <c r="I196" s="17">
        <v>0</v>
      </c>
      <c r="J196" s="17">
        <v>0</v>
      </c>
      <c r="K196" s="24" t="str">
        <f>IFERROR(VLOOKUP(B196,#REF!,11,FALSE),"")</f>
        <v/>
      </c>
      <c r="L196" s="17">
        <v>8820</v>
      </c>
      <c r="M196" s="6" t="s">
        <v>745</v>
      </c>
      <c r="N196" s="18" t="str">
        <f>IFERROR(VLOOKUP(B196,#REF!,13,FALSE),"")</f>
        <v/>
      </c>
      <c r="O196" s="19" t="str">
        <f>IFERROR(VLOOKUP(B196,#REF!,14,FALSE),"")</f>
        <v/>
      </c>
      <c r="P196" s="19" t="str">
        <f>IFERROR(VLOOKUP(B196,#REF!,15,FALSE),"")</f>
        <v/>
      </c>
      <c r="Q196" s="19"/>
      <c r="R196" s="25" t="str">
        <f>IFERROR(VLOOKUP(B196,#REF!,16,FALSE),"")</f>
        <v/>
      </c>
      <c r="S196" s="17">
        <v>0</v>
      </c>
      <c r="T196" s="17">
        <v>8820</v>
      </c>
      <c r="U196" s="17">
        <v>0</v>
      </c>
      <c r="V196" s="17">
        <v>0</v>
      </c>
      <c r="W196" s="20">
        <v>8820</v>
      </c>
      <c r="X196" s="16" t="s">
        <v>40</v>
      </c>
      <c r="Y196" s="21" t="s">
        <v>40</v>
      </c>
      <c r="Z196" s="20">
        <v>0</v>
      </c>
      <c r="AA196" s="17" t="s">
        <v>40</v>
      </c>
      <c r="AB196" s="22" t="s">
        <v>41</v>
      </c>
      <c r="AC196" s="23" t="str">
        <f t="shared" ref="AC196:AC259" si="23">IF($AB196="E","E",IF($AB196="F","F",IF($AB196&lt;0.5,50,IF($AB196&lt;2,100,150))))</f>
        <v>E</v>
      </c>
      <c r="AD196" s="17">
        <v>0</v>
      </c>
      <c r="AE196" s="17">
        <v>0</v>
      </c>
      <c r="AF196" s="17">
        <v>0</v>
      </c>
      <c r="AG196" s="17">
        <v>0</v>
      </c>
      <c r="AH196" s="15" t="s">
        <v>42</v>
      </c>
    </row>
    <row r="197" spans="1:34">
      <c r="A197" s="13" t="str">
        <f t="shared" si="18"/>
        <v>ZeroZero</v>
      </c>
      <c r="B197" s="14" t="s">
        <v>384</v>
      </c>
      <c r="C197" s="15" t="s">
        <v>280</v>
      </c>
      <c r="D197" s="19" t="str">
        <f t="shared" si="19"/>
        <v>前八週無拉料</v>
      </c>
      <c r="E197" s="16" t="str">
        <f t="shared" si="20"/>
        <v>--</v>
      </c>
      <c r="F197" s="16" t="str">
        <f t="shared" si="21"/>
        <v>--</v>
      </c>
      <c r="G197" s="16" t="str">
        <f t="shared" si="22"/>
        <v>--</v>
      </c>
      <c r="H197" s="24" t="str">
        <f>IFERROR(VLOOKUP(B197,#REF!,8,FALSE),"")</f>
        <v/>
      </c>
      <c r="I197" s="17">
        <v>0</v>
      </c>
      <c r="J197" s="17">
        <v>0</v>
      </c>
      <c r="K197" s="24" t="str">
        <f>IFERROR(VLOOKUP(B197,#REF!,11,FALSE),"")</f>
        <v/>
      </c>
      <c r="L197" s="17">
        <v>17500</v>
      </c>
      <c r="M197" s="6" t="s">
        <v>748</v>
      </c>
      <c r="N197" s="18" t="str">
        <f>IFERROR(VLOOKUP(B197,#REF!,13,FALSE),"")</f>
        <v/>
      </c>
      <c r="O197" s="19" t="str">
        <f>IFERROR(VLOOKUP(B197,#REF!,14,FALSE),"")</f>
        <v/>
      </c>
      <c r="P197" s="19" t="str">
        <f>IFERROR(VLOOKUP(B197,#REF!,15,FALSE),"")</f>
        <v/>
      </c>
      <c r="Q197" s="19"/>
      <c r="R197" s="25" t="str">
        <f>IFERROR(VLOOKUP(B197,#REF!,16,FALSE),"")</f>
        <v/>
      </c>
      <c r="S197" s="17">
        <v>0</v>
      </c>
      <c r="T197" s="17">
        <v>17500</v>
      </c>
      <c r="U197" s="17">
        <v>0</v>
      </c>
      <c r="V197" s="17">
        <v>0</v>
      </c>
      <c r="W197" s="20">
        <v>17500</v>
      </c>
      <c r="X197" s="16" t="s">
        <v>40</v>
      </c>
      <c r="Y197" s="21" t="s">
        <v>40</v>
      </c>
      <c r="Z197" s="20">
        <v>0</v>
      </c>
      <c r="AA197" s="17" t="s">
        <v>40</v>
      </c>
      <c r="AB197" s="22" t="s">
        <v>41</v>
      </c>
      <c r="AC197" s="23" t="str">
        <f t="shared" si="23"/>
        <v>E</v>
      </c>
      <c r="AD197" s="17">
        <v>0</v>
      </c>
      <c r="AE197" s="17">
        <v>0</v>
      </c>
      <c r="AF197" s="17">
        <v>0</v>
      </c>
      <c r="AG197" s="17">
        <v>0</v>
      </c>
      <c r="AH197" s="15" t="s">
        <v>42</v>
      </c>
    </row>
    <row r="198" spans="1:34">
      <c r="A198" s="13" t="str">
        <f t="shared" si="18"/>
        <v>ZeroZero</v>
      </c>
      <c r="B198" s="14" t="s">
        <v>722</v>
      </c>
      <c r="C198" s="15" t="s">
        <v>709</v>
      </c>
      <c r="D198" s="19" t="str">
        <f t="shared" si="19"/>
        <v>前八週無拉料</v>
      </c>
      <c r="E198" s="16" t="str">
        <f t="shared" si="20"/>
        <v>--</v>
      </c>
      <c r="F198" s="16" t="str">
        <f t="shared" si="21"/>
        <v>--</v>
      </c>
      <c r="G198" s="16" t="str">
        <f t="shared" si="22"/>
        <v>--</v>
      </c>
      <c r="H198" s="24" t="str">
        <f>IFERROR(VLOOKUP(B198,#REF!,8,FALSE),"")</f>
        <v/>
      </c>
      <c r="I198" s="17">
        <v>0</v>
      </c>
      <c r="J198" s="17">
        <v>0</v>
      </c>
      <c r="K198" s="24" t="str">
        <f>IFERROR(VLOOKUP(B198,#REF!,11,FALSE),"")</f>
        <v/>
      </c>
      <c r="L198" s="17">
        <v>7500</v>
      </c>
      <c r="M198" s="6" t="s">
        <v>748</v>
      </c>
      <c r="N198" s="18" t="str">
        <f>IFERROR(VLOOKUP(B198,#REF!,13,FALSE),"")</f>
        <v/>
      </c>
      <c r="O198" s="19" t="str">
        <f>IFERROR(VLOOKUP(B198,#REF!,14,FALSE),"")</f>
        <v/>
      </c>
      <c r="P198" s="19" t="str">
        <f>IFERROR(VLOOKUP(B198,#REF!,15,FALSE),"")</f>
        <v/>
      </c>
      <c r="Q198" s="19"/>
      <c r="R198" s="25" t="str">
        <f>IFERROR(VLOOKUP(B198,#REF!,16,FALSE),"")</f>
        <v/>
      </c>
      <c r="S198" s="17">
        <v>0</v>
      </c>
      <c r="T198" s="17">
        <v>7500</v>
      </c>
      <c r="U198" s="17">
        <v>0</v>
      </c>
      <c r="V198" s="17">
        <v>0</v>
      </c>
      <c r="W198" s="20">
        <v>7500</v>
      </c>
      <c r="X198" s="16" t="s">
        <v>40</v>
      </c>
      <c r="Y198" s="21" t="s">
        <v>40</v>
      </c>
      <c r="Z198" s="20">
        <v>0</v>
      </c>
      <c r="AA198" s="17" t="s">
        <v>40</v>
      </c>
      <c r="AB198" s="22" t="s">
        <v>41</v>
      </c>
      <c r="AC198" s="23" t="str">
        <f t="shared" si="23"/>
        <v>E</v>
      </c>
      <c r="AD198" s="17">
        <v>0</v>
      </c>
      <c r="AE198" s="17">
        <v>0</v>
      </c>
      <c r="AF198" s="17">
        <v>0</v>
      </c>
      <c r="AG198" s="17">
        <v>0</v>
      </c>
      <c r="AH198" s="15" t="s">
        <v>42</v>
      </c>
    </row>
    <row r="199" spans="1:34">
      <c r="A199" s="13" t="str">
        <f t="shared" si="18"/>
        <v>ZeroZero</v>
      </c>
      <c r="B199" s="14" t="s">
        <v>452</v>
      </c>
      <c r="C199" s="15" t="s">
        <v>280</v>
      </c>
      <c r="D199" s="19" t="str">
        <f t="shared" si="19"/>
        <v>前八週無拉料</v>
      </c>
      <c r="E199" s="16" t="str">
        <f t="shared" si="20"/>
        <v>--</v>
      </c>
      <c r="F199" s="16" t="str">
        <f t="shared" si="21"/>
        <v>--</v>
      </c>
      <c r="G199" s="16" t="str">
        <f t="shared" si="22"/>
        <v>--</v>
      </c>
      <c r="H199" s="24" t="str">
        <f>IFERROR(VLOOKUP(B199,#REF!,8,FALSE),"")</f>
        <v/>
      </c>
      <c r="I199" s="17">
        <v>3000</v>
      </c>
      <c r="J199" s="17">
        <v>0</v>
      </c>
      <c r="K199" s="24" t="str">
        <f>IFERROR(VLOOKUP(B199,#REF!,11,FALSE),"")</f>
        <v/>
      </c>
      <c r="L199" s="17">
        <v>3000</v>
      </c>
      <c r="M199" s="6" t="s">
        <v>752</v>
      </c>
      <c r="N199" s="18" t="str">
        <f>IFERROR(VLOOKUP(B199,#REF!,13,FALSE),"")</f>
        <v/>
      </c>
      <c r="O199" s="19" t="str">
        <f>IFERROR(VLOOKUP(B199,#REF!,14,FALSE),"")</f>
        <v/>
      </c>
      <c r="P199" s="19" t="str">
        <f>IFERROR(VLOOKUP(B199,#REF!,15,FALSE),"")</f>
        <v/>
      </c>
      <c r="Q199" s="19"/>
      <c r="R199" s="25" t="str">
        <f>IFERROR(VLOOKUP(B199,#REF!,16,FALSE),"")</f>
        <v/>
      </c>
      <c r="S199" s="17">
        <v>0</v>
      </c>
      <c r="T199" s="17">
        <v>3000</v>
      </c>
      <c r="U199" s="17">
        <v>0</v>
      </c>
      <c r="V199" s="17">
        <v>0</v>
      </c>
      <c r="W199" s="20">
        <v>6000</v>
      </c>
      <c r="X199" s="16" t="s">
        <v>40</v>
      </c>
      <c r="Y199" s="21" t="s">
        <v>40</v>
      </c>
      <c r="Z199" s="20">
        <v>0</v>
      </c>
      <c r="AA199" s="17" t="s">
        <v>40</v>
      </c>
      <c r="AB199" s="22" t="s">
        <v>41</v>
      </c>
      <c r="AC199" s="23" t="str">
        <f t="shared" si="23"/>
        <v>E</v>
      </c>
      <c r="AD199" s="17">
        <v>0</v>
      </c>
      <c r="AE199" s="17">
        <v>0</v>
      </c>
      <c r="AF199" s="17">
        <v>0</v>
      </c>
      <c r="AG199" s="17">
        <v>0</v>
      </c>
      <c r="AH199" s="15" t="s">
        <v>42</v>
      </c>
    </row>
    <row r="200" spans="1:34">
      <c r="A200" s="13" t="str">
        <f t="shared" si="18"/>
        <v>ZeroZero</v>
      </c>
      <c r="B200" s="14" t="s">
        <v>244</v>
      </c>
      <c r="C200" s="15" t="s">
        <v>46</v>
      </c>
      <c r="D200" s="19" t="str">
        <f t="shared" si="19"/>
        <v>前八週無拉料</v>
      </c>
      <c r="E200" s="16" t="str">
        <f t="shared" si="20"/>
        <v>--</v>
      </c>
      <c r="F200" s="16" t="str">
        <f t="shared" si="21"/>
        <v>--</v>
      </c>
      <c r="G200" s="16" t="str">
        <f t="shared" si="22"/>
        <v>--</v>
      </c>
      <c r="H200" s="24" t="str">
        <f>IFERROR(VLOOKUP(B200,#REF!,8,FALSE),"")</f>
        <v/>
      </c>
      <c r="I200" s="17">
        <v>0</v>
      </c>
      <c r="J200" s="17">
        <v>0</v>
      </c>
      <c r="K200" s="24" t="str">
        <f>IFERROR(VLOOKUP(B200,#REF!,11,FALSE),"")</f>
        <v/>
      </c>
      <c r="L200" s="17">
        <v>900</v>
      </c>
      <c r="M200" s="6" t="s">
        <v>745</v>
      </c>
      <c r="N200" s="18" t="str">
        <f>IFERROR(VLOOKUP(B200,#REF!,13,FALSE),"")</f>
        <v/>
      </c>
      <c r="O200" s="19" t="str">
        <f>IFERROR(VLOOKUP(B200,#REF!,14,FALSE),"")</f>
        <v/>
      </c>
      <c r="P200" s="19" t="str">
        <f>IFERROR(VLOOKUP(B200,#REF!,15,FALSE),"")</f>
        <v/>
      </c>
      <c r="Q200" s="19"/>
      <c r="R200" s="25" t="str">
        <f>IFERROR(VLOOKUP(B200,#REF!,16,FALSE),"")</f>
        <v/>
      </c>
      <c r="S200" s="17">
        <v>0</v>
      </c>
      <c r="T200" s="17">
        <v>900</v>
      </c>
      <c r="U200" s="17">
        <v>0</v>
      </c>
      <c r="V200" s="17">
        <v>0</v>
      </c>
      <c r="W200" s="20">
        <v>900</v>
      </c>
      <c r="X200" s="16" t="s">
        <v>40</v>
      </c>
      <c r="Y200" s="21" t="s">
        <v>40</v>
      </c>
      <c r="Z200" s="20">
        <v>0</v>
      </c>
      <c r="AA200" s="17" t="s">
        <v>40</v>
      </c>
      <c r="AB200" s="22" t="s">
        <v>41</v>
      </c>
      <c r="AC200" s="23" t="str">
        <f t="shared" si="23"/>
        <v>E</v>
      </c>
      <c r="AD200" s="17">
        <v>0</v>
      </c>
      <c r="AE200" s="17">
        <v>0</v>
      </c>
      <c r="AF200" s="17">
        <v>0</v>
      </c>
      <c r="AG200" s="17">
        <v>0</v>
      </c>
      <c r="AH200" s="15" t="s">
        <v>42</v>
      </c>
    </row>
    <row r="201" spans="1:34">
      <c r="A201" s="13" t="str">
        <f t="shared" si="18"/>
        <v>OverStock</v>
      </c>
      <c r="B201" s="14" t="s">
        <v>383</v>
      </c>
      <c r="C201" s="15" t="s">
        <v>280</v>
      </c>
      <c r="D201" s="19">
        <f t="shared" si="19"/>
        <v>20</v>
      </c>
      <c r="E201" s="16" t="str">
        <f t="shared" si="20"/>
        <v>--</v>
      </c>
      <c r="F201" s="16">
        <f t="shared" si="21"/>
        <v>392</v>
      </c>
      <c r="G201" s="16" t="str">
        <f t="shared" si="22"/>
        <v>--</v>
      </c>
      <c r="H201" s="24" t="str">
        <f>IFERROR(VLOOKUP(B201,#REF!,8,FALSE),"")</f>
        <v/>
      </c>
      <c r="I201" s="17">
        <v>245000</v>
      </c>
      <c r="J201" s="17">
        <v>145000</v>
      </c>
      <c r="K201" s="24" t="str">
        <f>IFERROR(VLOOKUP(B201,#REF!,11,FALSE),"")</f>
        <v/>
      </c>
      <c r="L201" s="17">
        <v>12500</v>
      </c>
      <c r="M201" s="6" t="s">
        <v>751</v>
      </c>
      <c r="N201" s="18" t="str">
        <f>IFERROR(VLOOKUP(B201,#REF!,13,FALSE),"")</f>
        <v/>
      </c>
      <c r="O201" s="19" t="str">
        <f>IFERROR(VLOOKUP(B201,#REF!,14,FALSE),"")</f>
        <v/>
      </c>
      <c r="P201" s="19" t="str">
        <f>IFERROR(VLOOKUP(B201,#REF!,15,FALSE),"")</f>
        <v/>
      </c>
      <c r="Q201" s="19"/>
      <c r="R201" s="25" t="str">
        <f>IFERROR(VLOOKUP(B201,#REF!,16,FALSE),"")</f>
        <v/>
      </c>
      <c r="S201" s="17">
        <v>0</v>
      </c>
      <c r="T201" s="17">
        <v>12500</v>
      </c>
      <c r="U201" s="17">
        <v>0</v>
      </c>
      <c r="V201" s="17">
        <v>0</v>
      </c>
      <c r="W201" s="20">
        <v>257500</v>
      </c>
      <c r="X201" s="16">
        <v>412</v>
      </c>
      <c r="Y201" s="21" t="s">
        <v>40</v>
      </c>
      <c r="Z201" s="20">
        <v>625</v>
      </c>
      <c r="AA201" s="17" t="s">
        <v>40</v>
      </c>
      <c r="AB201" s="22" t="s">
        <v>41</v>
      </c>
      <c r="AC201" s="23" t="str">
        <f t="shared" si="23"/>
        <v>E</v>
      </c>
      <c r="AD201" s="17">
        <v>0</v>
      </c>
      <c r="AE201" s="17">
        <v>0</v>
      </c>
      <c r="AF201" s="17">
        <v>0</v>
      </c>
      <c r="AG201" s="17">
        <v>0</v>
      </c>
      <c r="AH201" s="15" t="s">
        <v>42</v>
      </c>
    </row>
    <row r="202" spans="1:34">
      <c r="A202" s="13" t="str">
        <f t="shared" si="18"/>
        <v>ZeroZero</v>
      </c>
      <c r="B202" s="14" t="s">
        <v>487</v>
      </c>
      <c r="C202" s="15" t="s">
        <v>280</v>
      </c>
      <c r="D202" s="19" t="str">
        <f t="shared" si="19"/>
        <v>前八週無拉料</v>
      </c>
      <c r="E202" s="16" t="str">
        <f t="shared" si="20"/>
        <v>--</v>
      </c>
      <c r="F202" s="16" t="str">
        <f t="shared" si="21"/>
        <v>--</v>
      </c>
      <c r="G202" s="16" t="str">
        <f t="shared" si="22"/>
        <v>--</v>
      </c>
      <c r="H202" s="24" t="str">
        <f>IFERROR(VLOOKUP(B202,#REF!,8,FALSE),"")</f>
        <v/>
      </c>
      <c r="I202" s="17">
        <v>0</v>
      </c>
      <c r="J202" s="17">
        <v>0</v>
      </c>
      <c r="K202" s="24" t="str">
        <f>IFERROR(VLOOKUP(B202,#REF!,11,FALSE),"")</f>
        <v/>
      </c>
      <c r="L202" s="17">
        <v>3000</v>
      </c>
      <c r="M202" s="6" t="s">
        <v>748</v>
      </c>
      <c r="N202" s="18" t="str">
        <f>IFERROR(VLOOKUP(B202,#REF!,13,FALSE),"")</f>
        <v/>
      </c>
      <c r="O202" s="19" t="str">
        <f>IFERROR(VLOOKUP(B202,#REF!,14,FALSE),"")</f>
        <v/>
      </c>
      <c r="P202" s="19" t="str">
        <f>IFERROR(VLOOKUP(B202,#REF!,15,FALSE),"")</f>
        <v/>
      </c>
      <c r="Q202" s="19"/>
      <c r="R202" s="25" t="str">
        <f>IFERROR(VLOOKUP(B202,#REF!,16,FALSE),"")</f>
        <v/>
      </c>
      <c r="S202" s="17">
        <v>0</v>
      </c>
      <c r="T202" s="17">
        <v>3000</v>
      </c>
      <c r="U202" s="17">
        <v>0</v>
      </c>
      <c r="V202" s="17">
        <v>0</v>
      </c>
      <c r="W202" s="20">
        <v>3000</v>
      </c>
      <c r="X202" s="16" t="s">
        <v>40</v>
      </c>
      <c r="Y202" s="21" t="s">
        <v>40</v>
      </c>
      <c r="Z202" s="20">
        <v>0</v>
      </c>
      <c r="AA202" s="17" t="s">
        <v>40</v>
      </c>
      <c r="AB202" s="22" t="s">
        <v>41</v>
      </c>
      <c r="AC202" s="23" t="str">
        <f t="shared" si="23"/>
        <v>E</v>
      </c>
      <c r="AD202" s="17">
        <v>0</v>
      </c>
      <c r="AE202" s="17">
        <v>0</v>
      </c>
      <c r="AF202" s="17">
        <v>0</v>
      </c>
      <c r="AG202" s="17">
        <v>0</v>
      </c>
      <c r="AH202" s="15" t="s">
        <v>42</v>
      </c>
    </row>
    <row r="203" spans="1:34">
      <c r="A203" s="13" t="str">
        <f t="shared" si="18"/>
        <v>ZeroZero</v>
      </c>
      <c r="B203" s="14" t="s">
        <v>646</v>
      </c>
      <c r="C203" s="15" t="s">
        <v>277</v>
      </c>
      <c r="D203" s="19" t="str">
        <f t="shared" si="19"/>
        <v>前八週無拉料</v>
      </c>
      <c r="E203" s="16" t="str">
        <f t="shared" si="20"/>
        <v>--</v>
      </c>
      <c r="F203" s="16" t="str">
        <f t="shared" si="21"/>
        <v>--</v>
      </c>
      <c r="G203" s="16" t="str">
        <f t="shared" si="22"/>
        <v>--</v>
      </c>
      <c r="H203" s="24" t="str">
        <f>IFERROR(VLOOKUP(B203,#REF!,8,FALSE),"")</f>
        <v/>
      </c>
      <c r="I203" s="17">
        <v>0</v>
      </c>
      <c r="J203" s="17">
        <v>0</v>
      </c>
      <c r="K203" s="24" t="str">
        <f>IFERROR(VLOOKUP(B203,#REF!,11,FALSE),"")</f>
        <v/>
      </c>
      <c r="L203" s="17">
        <v>3000</v>
      </c>
      <c r="M203" s="6" t="s">
        <v>752</v>
      </c>
      <c r="N203" s="18" t="str">
        <f>IFERROR(VLOOKUP(B203,#REF!,13,FALSE),"")</f>
        <v/>
      </c>
      <c r="O203" s="19" t="str">
        <f>IFERROR(VLOOKUP(B203,#REF!,14,FALSE),"")</f>
        <v/>
      </c>
      <c r="P203" s="19" t="str">
        <f>IFERROR(VLOOKUP(B203,#REF!,15,FALSE),"")</f>
        <v/>
      </c>
      <c r="Q203" s="19"/>
      <c r="R203" s="25" t="str">
        <f>IFERROR(VLOOKUP(B203,#REF!,16,FALSE),"")</f>
        <v/>
      </c>
      <c r="S203" s="17">
        <v>0</v>
      </c>
      <c r="T203" s="17">
        <v>3000</v>
      </c>
      <c r="U203" s="17">
        <v>0</v>
      </c>
      <c r="V203" s="17">
        <v>0</v>
      </c>
      <c r="W203" s="20">
        <v>3000</v>
      </c>
      <c r="X203" s="16" t="s">
        <v>40</v>
      </c>
      <c r="Y203" s="21" t="s">
        <v>40</v>
      </c>
      <c r="Z203" s="20">
        <v>0</v>
      </c>
      <c r="AA203" s="17" t="s">
        <v>40</v>
      </c>
      <c r="AB203" s="22" t="s">
        <v>41</v>
      </c>
      <c r="AC203" s="23" t="str">
        <f t="shared" si="23"/>
        <v>E</v>
      </c>
      <c r="AD203" s="17">
        <v>0</v>
      </c>
      <c r="AE203" s="17">
        <v>0</v>
      </c>
      <c r="AF203" s="17">
        <v>0</v>
      </c>
      <c r="AG203" s="17">
        <v>0</v>
      </c>
      <c r="AH203" s="15" t="s">
        <v>42</v>
      </c>
    </row>
    <row r="204" spans="1:34">
      <c r="A204" s="13" t="str">
        <f t="shared" si="18"/>
        <v>ZeroZero</v>
      </c>
      <c r="B204" s="14" t="s">
        <v>554</v>
      </c>
      <c r="C204" s="15" t="s">
        <v>555</v>
      </c>
      <c r="D204" s="19" t="str">
        <f t="shared" si="19"/>
        <v>前八週無拉料</v>
      </c>
      <c r="E204" s="16" t="str">
        <f t="shared" si="20"/>
        <v>--</v>
      </c>
      <c r="F204" s="16" t="str">
        <f t="shared" si="21"/>
        <v>--</v>
      </c>
      <c r="G204" s="16" t="str">
        <f t="shared" si="22"/>
        <v>--</v>
      </c>
      <c r="H204" s="24" t="str">
        <f>IFERROR(VLOOKUP(B204,#REF!,8,FALSE),"")</f>
        <v/>
      </c>
      <c r="I204" s="17">
        <v>0</v>
      </c>
      <c r="J204" s="17">
        <v>0</v>
      </c>
      <c r="K204" s="24" t="str">
        <f>IFERROR(VLOOKUP(B204,#REF!,11,FALSE),"")</f>
        <v/>
      </c>
      <c r="L204" s="17">
        <v>18000</v>
      </c>
      <c r="M204" s="6" t="s">
        <v>752</v>
      </c>
      <c r="N204" s="18" t="str">
        <f>IFERROR(VLOOKUP(B204,#REF!,13,FALSE),"")</f>
        <v/>
      </c>
      <c r="O204" s="19" t="str">
        <f>IFERROR(VLOOKUP(B204,#REF!,14,FALSE),"")</f>
        <v/>
      </c>
      <c r="P204" s="19" t="str">
        <f>IFERROR(VLOOKUP(B204,#REF!,15,FALSE),"")</f>
        <v/>
      </c>
      <c r="Q204" s="19"/>
      <c r="R204" s="25" t="str">
        <f>IFERROR(VLOOKUP(B204,#REF!,16,FALSE),"")</f>
        <v/>
      </c>
      <c r="S204" s="17">
        <v>0</v>
      </c>
      <c r="T204" s="17">
        <v>18000</v>
      </c>
      <c r="U204" s="17">
        <v>0</v>
      </c>
      <c r="V204" s="17">
        <v>0</v>
      </c>
      <c r="W204" s="20">
        <v>18000</v>
      </c>
      <c r="X204" s="16" t="s">
        <v>40</v>
      </c>
      <c r="Y204" s="21" t="s">
        <v>40</v>
      </c>
      <c r="Z204" s="20">
        <v>0</v>
      </c>
      <c r="AA204" s="17" t="s">
        <v>40</v>
      </c>
      <c r="AB204" s="22" t="s">
        <v>41</v>
      </c>
      <c r="AC204" s="23" t="str">
        <f t="shared" si="23"/>
        <v>E</v>
      </c>
      <c r="AD204" s="17">
        <v>0</v>
      </c>
      <c r="AE204" s="17">
        <v>0</v>
      </c>
      <c r="AF204" s="17">
        <v>0</v>
      </c>
      <c r="AG204" s="17">
        <v>0</v>
      </c>
      <c r="AH204" s="15" t="s">
        <v>42</v>
      </c>
    </row>
    <row r="205" spans="1:34">
      <c r="A205" s="13" t="str">
        <f t="shared" si="18"/>
        <v>ZeroZero</v>
      </c>
      <c r="B205" s="14" t="s">
        <v>275</v>
      </c>
      <c r="C205" s="15" t="s">
        <v>269</v>
      </c>
      <c r="D205" s="19" t="str">
        <f t="shared" si="19"/>
        <v>前八週無拉料</v>
      </c>
      <c r="E205" s="16" t="str">
        <f t="shared" si="20"/>
        <v>--</v>
      </c>
      <c r="F205" s="16" t="str">
        <f t="shared" si="21"/>
        <v>--</v>
      </c>
      <c r="G205" s="16" t="str">
        <f t="shared" si="22"/>
        <v>--</v>
      </c>
      <c r="H205" s="24" t="str">
        <f>IFERROR(VLOOKUP(B205,#REF!,8,FALSE),"")</f>
        <v/>
      </c>
      <c r="I205" s="17">
        <v>0</v>
      </c>
      <c r="J205" s="17">
        <v>0</v>
      </c>
      <c r="K205" s="24" t="str">
        <f>IFERROR(VLOOKUP(B205,#REF!,11,FALSE),"")</f>
        <v/>
      </c>
      <c r="L205" s="17">
        <v>8000</v>
      </c>
      <c r="M205" s="6" t="s">
        <v>747</v>
      </c>
      <c r="N205" s="18" t="str">
        <f>IFERROR(VLOOKUP(B205,#REF!,13,FALSE),"")</f>
        <v/>
      </c>
      <c r="O205" s="19" t="str">
        <f>IFERROR(VLOOKUP(B205,#REF!,14,FALSE),"")</f>
        <v/>
      </c>
      <c r="P205" s="19" t="str">
        <f>IFERROR(VLOOKUP(B205,#REF!,15,FALSE),"")</f>
        <v/>
      </c>
      <c r="Q205" s="19"/>
      <c r="R205" s="25" t="str">
        <f>IFERROR(VLOOKUP(B205,#REF!,16,FALSE),"")</f>
        <v/>
      </c>
      <c r="S205" s="17">
        <v>0</v>
      </c>
      <c r="T205" s="17">
        <v>8000</v>
      </c>
      <c r="U205" s="17">
        <v>0</v>
      </c>
      <c r="V205" s="17">
        <v>0</v>
      </c>
      <c r="W205" s="20">
        <v>8000</v>
      </c>
      <c r="X205" s="16" t="s">
        <v>40</v>
      </c>
      <c r="Y205" s="21" t="s">
        <v>40</v>
      </c>
      <c r="Z205" s="20">
        <v>0</v>
      </c>
      <c r="AA205" s="17" t="s">
        <v>40</v>
      </c>
      <c r="AB205" s="22" t="s">
        <v>41</v>
      </c>
      <c r="AC205" s="23" t="str">
        <f t="shared" si="23"/>
        <v>E</v>
      </c>
      <c r="AD205" s="17">
        <v>0</v>
      </c>
      <c r="AE205" s="17">
        <v>0</v>
      </c>
      <c r="AF205" s="17">
        <v>0</v>
      </c>
      <c r="AG205" s="17">
        <v>0</v>
      </c>
      <c r="AH205" s="15" t="s">
        <v>42</v>
      </c>
    </row>
    <row r="206" spans="1:34">
      <c r="A206" s="13" t="str">
        <f t="shared" si="18"/>
        <v>ZeroZero</v>
      </c>
      <c r="B206" s="14" t="s">
        <v>669</v>
      </c>
      <c r="C206" s="15" t="s">
        <v>277</v>
      </c>
      <c r="D206" s="19" t="str">
        <f t="shared" si="19"/>
        <v>前八週無拉料</v>
      </c>
      <c r="E206" s="16" t="str">
        <f t="shared" si="20"/>
        <v>--</v>
      </c>
      <c r="F206" s="16" t="str">
        <f t="shared" si="21"/>
        <v>--</v>
      </c>
      <c r="G206" s="16" t="str">
        <f t="shared" si="22"/>
        <v>--</v>
      </c>
      <c r="H206" s="24" t="str">
        <f>IFERROR(VLOOKUP(B206,#REF!,8,FALSE),"")</f>
        <v/>
      </c>
      <c r="I206" s="17">
        <v>0</v>
      </c>
      <c r="J206" s="17">
        <v>0</v>
      </c>
      <c r="K206" s="24" t="str">
        <f>IFERROR(VLOOKUP(B206,#REF!,11,FALSE),"")</f>
        <v/>
      </c>
      <c r="L206" s="17">
        <v>3000</v>
      </c>
      <c r="M206" s="6" t="s">
        <v>758</v>
      </c>
      <c r="N206" s="18" t="str">
        <f>IFERROR(VLOOKUP(B206,#REF!,13,FALSE),"")</f>
        <v/>
      </c>
      <c r="O206" s="19" t="str">
        <f>IFERROR(VLOOKUP(B206,#REF!,14,FALSE),"")</f>
        <v/>
      </c>
      <c r="P206" s="19" t="str">
        <f>IFERROR(VLOOKUP(B206,#REF!,15,FALSE),"")</f>
        <v/>
      </c>
      <c r="Q206" s="19"/>
      <c r="R206" s="25" t="str">
        <f>IFERROR(VLOOKUP(B206,#REF!,16,FALSE),"")</f>
        <v/>
      </c>
      <c r="S206" s="17">
        <v>0</v>
      </c>
      <c r="T206" s="17">
        <v>3000</v>
      </c>
      <c r="U206" s="17">
        <v>0</v>
      </c>
      <c r="V206" s="17">
        <v>0</v>
      </c>
      <c r="W206" s="20">
        <v>3000</v>
      </c>
      <c r="X206" s="16" t="s">
        <v>40</v>
      </c>
      <c r="Y206" s="21" t="s">
        <v>40</v>
      </c>
      <c r="Z206" s="20">
        <v>0</v>
      </c>
      <c r="AA206" s="17" t="s">
        <v>40</v>
      </c>
      <c r="AB206" s="22" t="s">
        <v>41</v>
      </c>
      <c r="AC206" s="23" t="str">
        <f t="shared" si="23"/>
        <v>E</v>
      </c>
      <c r="AD206" s="17">
        <v>0</v>
      </c>
      <c r="AE206" s="17">
        <v>0</v>
      </c>
      <c r="AF206" s="17">
        <v>0</v>
      </c>
      <c r="AG206" s="17">
        <v>0</v>
      </c>
      <c r="AH206" s="15" t="s">
        <v>42</v>
      </c>
    </row>
    <row r="207" spans="1:34">
      <c r="A207" s="13" t="str">
        <f t="shared" si="18"/>
        <v>OverStock</v>
      </c>
      <c r="B207" s="14" t="s">
        <v>329</v>
      </c>
      <c r="C207" s="15" t="s">
        <v>280</v>
      </c>
      <c r="D207" s="19">
        <f t="shared" si="19"/>
        <v>40</v>
      </c>
      <c r="E207" s="16">
        <f t="shared" si="20"/>
        <v>22.5</v>
      </c>
      <c r="F207" s="16">
        <f t="shared" si="21"/>
        <v>64</v>
      </c>
      <c r="G207" s="16">
        <f t="shared" si="22"/>
        <v>36</v>
      </c>
      <c r="H207" s="24" t="str">
        <f>IFERROR(VLOOKUP(B207,#REF!,8,FALSE),"")</f>
        <v/>
      </c>
      <c r="I207" s="17">
        <v>24000</v>
      </c>
      <c r="J207" s="17">
        <v>15000</v>
      </c>
      <c r="K207" s="24" t="str">
        <f>IFERROR(VLOOKUP(B207,#REF!,11,FALSE),"")</f>
        <v/>
      </c>
      <c r="L207" s="17">
        <v>15000</v>
      </c>
      <c r="M207" s="6" t="s">
        <v>759</v>
      </c>
      <c r="N207" s="18" t="str">
        <f>IFERROR(VLOOKUP(B207,#REF!,13,FALSE),"")</f>
        <v/>
      </c>
      <c r="O207" s="19" t="str">
        <f>IFERROR(VLOOKUP(B207,#REF!,14,FALSE),"")</f>
        <v/>
      </c>
      <c r="P207" s="19" t="str">
        <f>IFERROR(VLOOKUP(B207,#REF!,15,FALSE),"")</f>
        <v/>
      </c>
      <c r="Q207" s="19"/>
      <c r="R207" s="25" t="str">
        <f>IFERROR(VLOOKUP(B207,#REF!,16,FALSE),"")</f>
        <v/>
      </c>
      <c r="S207" s="17">
        <v>0</v>
      </c>
      <c r="T207" s="17">
        <v>15000</v>
      </c>
      <c r="U207" s="17">
        <v>0</v>
      </c>
      <c r="V207" s="17">
        <v>0</v>
      </c>
      <c r="W207" s="20">
        <v>39000</v>
      </c>
      <c r="X207" s="16">
        <v>104</v>
      </c>
      <c r="Y207" s="21">
        <v>58.5</v>
      </c>
      <c r="Z207" s="20">
        <v>375</v>
      </c>
      <c r="AA207" s="17">
        <v>667</v>
      </c>
      <c r="AB207" s="22">
        <v>1.8</v>
      </c>
      <c r="AC207" s="23">
        <f t="shared" si="23"/>
        <v>100</v>
      </c>
      <c r="AD207" s="17">
        <v>3000</v>
      </c>
      <c r="AE207" s="17">
        <v>0</v>
      </c>
      <c r="AF207" s="17">
        <v>3000</v>
      </c>
      <c r="AG207" s="17">
        <v>0</v>
      </c>
      <c r="AH207" s="15" t="s">
        <v>42</v>
      </c>
    </row>
    <row r="208" spans="1:34">
      <c r="A208" s="13" t="str">
        <f t="shared" si="18"/>
        <v>ZeroZero</v>
      </c>
      <c r="B208" s="14" t="s">
        <v>723</v>
      </c>
      <c r="C208" s="15" t="s">
        <v>709</v>
      </c>
      <c r="D208" s="19" t="str">
        <f t="shared" si="19"/>
        <v>前八週無拉料</v>
      </c>
      <c r="E208" s="16" t="str">
        <f t="shared" si="20"/>
        <v>--</v>
      </c>
      <c r="F208" s="16" t="str">
        <f t="shared" si="21"/>
        <v>--</v>
      </c>
      <c r="G208" s="16" t="str">
        <f t="shared" si="22"/>
        <v>--</v>
      </c>
      <c r="H208" s="24" t="str">
        <f>IFERROR(VLOOKUP(B208,#REF!,8,FALSE),"")</f>
        <v/>
      </c>
      <c r="I208" s="17">
        <v>0</v>
      </c>
      <c r="J208" s="17">
        <v>0</v>
      </c>
      <c r="K208" s="24" t="str">
        <f>IFERROR(VLOOKUP(B208,#REF!,11,FALSE),"")</f>
        <v/>
      </c>
      <c r="L208" s="17">
        <v>2500</v>
      </c>
      <c r="M208" s="6" t="s">
        <v>748</v>
      </c>
      <c r="N208" s="18" t="str">
        <f>IFERROR(VLOOKUP(B208,#REF!,13,FALSE),"")</f>
        <v/>
      </c>
      <c r="O208" s="19" t="str">
        <f>IFERROR(VLOOKUP(B208,#REF!,14,FALSE),"")</f>
        <v/>
      </c>
      <c r="P208" s="19" t="str">
        <f>IFERROR(VLOOKUP(B208,#REF!,15,FALSE),"")</f>
        <v/>
      </c>
      <c r="Q208" s="19"/>
      <c r="R208" s="25" t="str">
        <f>IFERROR(VLOOKUP(B208,#REF!,16,FALSE),"")</f>
        <v/>
      </c>
      <c r="S208" s="17">
        <v>0</v>
      </c>
      <c r="T208" s="17">
        <v>2500</v>
      </c>
      <c r="U208" s="17">
        <v>0</v>
      </c>
      <c r="V208" s="17">
        <v>0</v>
      </c>
      <c r="W208" s="20">
        <v>2500</v>
      </c>
      <c r="X208" s="16" t="s">
        <v>40</v>
      </c>
      <c r="Y208" s="21" t="s">
        <v>40</v>
      </c>
      <c r="Z208" s="20">
        <v>0</v>
      </c>
      <c r="AA208" s="17" t="s">
        <v>40</v>
      </c>
      <c r="AB208" s="22" t="s">
        <v>41</v>
      </c>
      <c r="AC208" s="23" t="str">
        <f t="shared" si="23"/>
        <v>E</v>
      </c>
      <c r="AD208" s="17">
        <v>0</v>
      </c>
      <c r="AE208" s="17">
        <v>0</v>
      </c>
      <c r="AF208" s="17">
        <v>0</v>
      </c>
      <c r="AG208" s="17">
        <v>0</v>
      </c>
      <c r="AH208" s="15" t="s">
        <v>42</v>
      </c>
    </row>
    <row r="209" spans="1:34">
      <c r="A209" s="13" t="str">
        <f t="shared" si="18"/>
        <v>OverStock</v>
      </c>
      <c r="B209" s="14" t="s">
        <v>507</v>
      </c>
      <c r="C209" s="15" t="s">
        <v>280</v>
      </c>
      <c r="D209" s="19">
        <f t="shared" si="19"/>
        <v>32</v>
      </c>
      <c r="E209" s="16" t="str">
        <f t="shared" si="20"/>
        <v>--</v>
      </c>
      <c r="F209" s="16">
        <f t="shared" si="21"/>
        <v>136</v>
      </c>
      <c r="G209" s="16" t="str">
        <f t="shared" si="22"/>
        <v>--</v>
      </c>
      <c r="H209" s="24" t="str">
        <f>IFERROR(VLOOKUP(B209,#REF!,8,FALSE),"")</f>
        <v/>
      </c>
      <c r="I209" s="17">
        <v>170000</v>
      </c>
      <c r="J209" s="17">
        <v>0</v>
      </c>
      <c r="K209" s="24" t="str">
        <f>IFERROR(VLOOKUP(B209,#REF!,11,FALSE),"")</f>
        <v/>
      </c>
      <c r="L209" s="17">
        <v>40000</v>
      </c>
      <c r="M209" s="6" t="s">
        <v>752</v>
      </c>
      <c r="N209" s="18" t="str">
        <f>IFERROR(VLOOKUP(B209,#REF!,13,FALSE),"")</f>
        <v/>
      </c>
      <c r="O209" s="19" t="str">
        <f>IFERROR(VLOOKUP(B209,#REF!,14,FALSE),"")</f>
        <v/>
      </c>
      <c r="P209" s="19" t="str">
        <f>IFERROR(VLOOKUP(B209,#REF!,15,FALSE),"")</f>
        <v/>
      </c>
      <c r="Q209" s="19"/>
      <c r="R209" s="25" t="str">
        <f>IFERROR(VLOOKUP(B209,#REF!,16,FALSE),"")</f>
        <v/>
      </c>
      <c r="S209" s="17">
        <v>0</v>
      </c>
      <c r="T209" s="17">
        <v>40000</v>
      </c>
      <c r="U209" s="17">
        <v>0</v>
      </c>
      <c r="V209" s="17">
        <v>0</v>
      </c>
      <c r="W209" s="20">
        <v>210000</v>
      </c>
      <c r="X209" s="16">
        <v>168</v>
      </c>
      <c r="Y209" s="21" t="s">
        <v>40</v>
      </c>
      <c r="Z209" s="20">
        <v>1250</v>
      </c>
      <c r="AA209" s="17" t="s">
        <v>40</v>
      </c>
      <c r="AB209" s="22" t="s">
        <v>41</v>
      </c>
      <c r="AC209" s="23" t="str">
        <f t="shared" si="23"/>
        <v>E</v>
      </c>
      <c r="AD209" s="17">
        <v>0</v>
      </c>
      <c r="AE209" s="17">
        <v>0</v>
      </c>
      <c r="AF209" s="17">
        <v>0</v>
      </c>
      <c r="AG209" s="17">
        <v>0</v>
      </c>
      <c r="AH209" s="15" t="s">
        <v>42</v>
      </c>
    </row>
    <row r="210" spans="1:34">
      <c r="A210" s="13" t="str">
        <f t="shared" si="18"/>
        <v>ZeroZero</v>
      </c>
      <c r="B210" s="14" t="s">
        <v>317</v>
      </c>
      <c r="C210" s="15" t="s">
        <v>280</v>
      </c>
      <c r="D210" s="19" t="str">
        <f t="shared" si="19"/>
        <v>前八週無拉料</v>
      </c>
      <c r="E210" s="16" t="str">
        <f t="shared" si="20"/>
        <v>--</v>
      </c>
      <c r="F210" s="16" t="str">
        <f t="shared" si="21"/>
        <v>--</v>
      </c>
      <c r="G210" s="16" t="str">
        <f t="shared" si="22"/>
        <v>--</v>
      </c>
      <c r="H210" s="24" t="str">
        <f>IFERROR(VLOOKUP(B210,#REF!,8,FALSE),"")</f>
        <v/>
      </c>
      <c r="I210" s="17">
        <v>3000</v>
      </c>
      <c r="J210" s="17">
        <v>0</v>
      </c>
      <c r="K210" s="24" t="str">
        <f>IFERROR(VLOOKUP(B210,#REF!,11,FALSE),"")</f>
        <v/>
      </c>
      <c r="L210" s="17">
        <v>3000</v>
      </c>
      <c r="M210" s="6" t="s">
        <v>752</v>
      </c>
      <c r="N210" s="18" t="str">
        <f>IFERROR(VLOOKUP(B210,#REF!,13,FALSE),"")</f>
        <v/>
      </c>
      <c r="O210" s="19" t="str">
        <f>IFERROR(VLOOKUP(B210,#REF!,14,FALSE),"")</f>
        <v/>
      </c>
      <c r="P210" s="19" t="str">
        <f>IFERROR(VLOOKUP(B210,#REF!,15,FALSE),"")</f>
        <v/>
      </c>
      <c r="Q210" s="19"/>
      <c r="R210" s="25" t="str">
        <f>IFERROR(VLOOKUP(B210,#REF!,16,FALSE),"")</f>
        <v/>
      </c>
      <c r="S210" s="17">
        <v>0</v>
      </c>
      <c r="T210" s="17">
        <v>3000</v>
      </c>
      <c r="U210" s="17">
        <v>0</v>
      </c>
      <c r="V210" s="17">
        <v>0</v>
      </c>
      <c r="W210" s="20">
        <v>6000</v>
      </c>
      <c r="X210" s="16" t="s">
        <v>40</v>
      </c>
      <c r="Y210" s="21" t="s">
        <v>40</v>
      </c>
      <c r="Z210" s="20">
        <v>0</v>
      </c>
      <c r="AA210" s="17" t="s">
        <v>40</v>
      </c>
      <c r="AB210" s="22" t="s">
        <v>41</v>
      </c>
      <c r="AC210" s="23" t="str">
        <f t="shared" si="23"/>
        <v>E</v>
      </c>
      <c r="AD210" s="17">
        <v>0</v>
      </c>
      <c r="AE210" s="17">
        <v>0</v>
      </c>
      <c r="AF210" s="17">
        <v>0</v>
      </c>
      <c r="AG210" s="17">
        <v>0</v>
      </c>
      <c r="AH210" s="15" t="s">
        <v>42</v>
      </c>
    </row>
    <row r="211" spans="1:34">
      <c r="A211" s="13" t="str">
        <f t="shared" si="18"/>
        <v>ZeroZero</v>
      </c>
      <c r="B211" s="14" t="s">
        <v>464</v>
      </c>
      <c r="C211" s="15" t="s">
        <v>280</v>
      </c>
      <c r="D211" s="19" t="str">
        <f t="shared" si="19"/>
        <v>前八週無拉料</v>
      </c>
      <c r="E211" s="16" t="str">
        <f t="shared" si="20"/>
        <v>--</v>
      </c>
      <c r="F211" s="16" t="str">
        <f t="shared" si="21"/>
        <v>--</v>
      </c>
      <c r="G211" s="16" t="str">
        <f t="shared" si="22"/>
        <v>--</v>
      </c>
      <c r="H211" s="24" t="str">
        <f>IFERROR(VLOOKUP(B211,#REF!,8,FALSE),"")</f>
        <v/>
      </c>
      <c r="I211" s="17">
        <v>0</v>
      </c>
      <c r="J211" s="17">
        <v>0</v>
      </c>
      <c r="K211" s="24" t="str">
        <f>IFERROR(VLOOKUP(B211,#REF!,11,FALSE),"")</f>
        <v/>
      </c>
      <c r="L211" s="17">
        <v>5000</v>
      </c>
      <c r="M211" s="6" t="s">
        <v>752</v>
      </c>
      <c r="N211" s="18" t="str">
        <f>IFERROR(VLOOKUP(B211,#REF!,13,FALSE),"")</f>
        <v/>
      </c>
      <c r="O211" s="19" t="str">
        <f>IFERROR(VLOOKUP(B211,#REF!,14,FALSE),"")</f>
        <v/>
      </c>
      <c r="P211" s="19" t="str">
        <f>IFERROR(VLOOKUP(B211,#REF!,15,FALSE),"")</f>
        <v/>
      </c>
      <c r="Q211" s="19"/>
      <c r="R211" s="25" t="str">
        <f>IFERROR(VLOOKUP(B211,#REF!,16,FALSE),"")</f>
        <v/>
      </c>
      <c r="S211" s="17">
        <v>0</v>
      </c>
      <c r="T211" s="17">
        <v>5000</v>
      </c>
      <c r="U211" s="17">
        <v>0</v>
      </c>
      <c r="V211" s="17">
        <v>0</v>
      </c>
      <c r="W211" s="20">
        <v>5000</v>
      </c>
      <c r="X211" s="16" t="s">
        <v>40</v>
      </c>
      <c r="Y211" s="21" t="s">
        <v>40</v>
      </c>
      <c r="Z211" s="20">
        <v>0</v>
      </c>
      <c r="AA211" s="17" t="s">
        <v>40</v>
      </c>
      <c r="AB211" s="22" t="s">
        <v>41</v>
      </c>
      <c r="AC211" s="23" t="str">
        <f t="shared" si="23"/>
        <v>E</v>
      </c>
      <c r="AD211" s="17">
        <v>0</v>
      </c>
      <c r="AE211" s="17">
        <v>0</v>
      </c>
      <c r="AF211" s="17">
        <v>0</v>
      </c>
      <c r="AG211" s="17">
        <v>0</v>
      </c>
      <c r="AH211" s="15" t="s">
        <v>42</v>
      </c>
    </row>
    <row r="212" spans="1:34">
      <c r="A212" s="13" t="str">
        <f t="shared" si="18"/>
        <v>ZeroZero</v>
      </c>
      <c r="B212" s="14" t="s">
        <v>553</v>
      </c>
      <c r="C212" s="15" t="s">
        <v>269</v>
      </c>
      <c r="D212" s="19" t="str">
        <f t="shared" si="19"/>
        <v>前八週無拉料</v>
      </c>
      <c r="E212" s="16" t="str">
        <f t="shared" si="20"/>
        <v>--</v>
      </c>
      <c r="F212" s="16" t="str">
        <f t="shared" si="21"/>
        <v>--</v>
      </c>
      <c r="G212" s="16" t="str">
        <f t="shared" si="22"/>
        <v>--</v>
      </c>
      <c r="H212" s="24" t="str">
        <f>IFERROR(VLOOKUP(B212,#REF!,8,FALSE),"")</f>
        <v/>
      </c>
      <c r="I212" s="17">
        <v>0</v>
      </c>
      <c r="J212" s="17">
        <v>0</v>
      </c>
      <c r="K212" s="24" t="str">
        <f>IFERROR(VLOOKUP(B212,#REF!,11,FALSE),"")</f>
        <v/>
      </c>
      <c r="L212" s="17">
        <v>9000</v>
      </c>
      <c r="M212" s="6" t="s">
        <v>748</v>
      </c>
      <c r="N212" s="18" t="str">
        <f>IFERROR(VLOOKUP(B212,#REF!,13,FALSE),"")</f>
        <v/>
      </c>
      <c r="O212" s="19" t="str">
        <f>IFERROR(VLOOKUP(B212,#REF!,14,FALSE),"")</f>
        <v/>
      </c>
      <c r="P212" s="19" t="str">
        <f>IFERROR(VLOOKUP(B212,#REF!,15,FALSE),"")</f>
        <v/>
      </c>
      <c r="Q212" s="19"/>
      <c r="R212" s="25" t="str">
        <f>IFERROR(VLOOKUP(B212,#REF!,16,FALSE),"")</f>
        <v/>
      </c>
      <c r="S212" s="17">
        <v>0</v>
      </c>
      <c r="T212" s="17">
        <v>9000</v>
      </c>
      <c r="U212" s="17">
        <v>0</v>
      </c>
      <c r="V212" s="17">
        <v>0</v>
      </c>
      <c r="W212" s="20">
        <v>9000</v>
      </c>
      <c r="X212" s="16" t="s">
        <v>40</v>
      </c>
      <c r="Y212" s="21" t="s">
        <v>40</v>
      </c>
      <c r="Z212" s="20">
        <v>0</v>
      </c>
      <c r="AA212" s="17" t="s">
        <v>40</v>
      </c>
      <c r="AB212" s="22" t="s">
        <v>41</v>
      </c>
      <c r="AC212" s="23" t="str">
        <f t="shared" si="23"/>
        <v>E</v>
      </c>
      <c r="AD212" s="17">
        <v>0</v>
      </c>
      <c r="AE212" s="17">
        <v>0</v>
      </c>
      <c r="AF212" s="17">
        <v>0</v>
      </c>
      <c r="AG212" s="17">
        <v>0</v>
      </c>
      <c r="AH212" s="15" t="s">
        <v>42</v>
      </c>
    </row>
    <row r="213" spans="1:34">
      <c r="A213" s="13" t="str">
        <f t="shared" si="18"/>
        <v>ZeroZero</v>
      </c>
      <c r="B213" s="14" t="s">
        <v>601</v>
      </c>
      <c r="C213" s="15" t="s">
        <v>277</v>
      </c>
      <c r="D213" s="19" t="str">
        <f t="shared" si="19"/>
        <v>前八週無拉料</v>
      </c>
      <c r="E213" s="16" t="str">
        <f t="shared" si="20"/>
        <v>--</v>
      </c>
      <c r="F213" s="16" t="str">
        <f t="shared" si="21"/>
        <v>--</v>
      </c>
      <c r="G213" s="16" t="str">
        <f t="shared" si="22"/>
        <v>--</v>
      </c>
      <c r="H213" s="24" t="str">
        <f>IFERROR(VLOOKUP(B213,#REF!,8,FALSE),"")</f>
        <v/>
      </c>
      <c r="I213" s="17">
        <v>0</v>
      </c>
      <c r="J213" s="17">
        <v>0</v>
      </c>
      <c r="K213" s="24" t="str">
        <f>IFERROR(VLOOKUP(B213,#REF!,11,FALSE),"")</f>
        <v/>
      </c>
      <c r="L213" s="17">
        <v>15000</v>
      </c>
      <c r="M213" s="6" t="s">
        <v>767</v>
      </c>
      <c r="N213" s="18" t="str">
        <f>IFERROR(VLOOKUP(B213,#REF!,13,FALSE),"")</f>
        <v/>
      </c>
      <c r="O213" s="19" t="str">
        <f>IFERROR(VLOOKUP(B213,#REF!,14,FALSE),"")</f>
        <v/>
      </c>
      <c r="P213" s="19" t="str">
        <f>IFERROR(VLOOKUP(B213,#REF!,15,FALSE),"")</f>
        <v/>
      </c>
      <c r="Q213" s="19"/>
      <c r="R213" s="25" t="str">
        <f>IFERROR(VLOOKUP(B213,#REF!,16,FALSE),"")</f>
        <v/>
      </c>
      <c r="S213" s="17">
        <v>0</v>
      </c>
      <c r="T213" s="17">
        <v>0</v>
      </c>
      <c r="U213" s="17">
        <v>15000</v>
      </c>
      <c r="V213" s="17">
        <v>0</v>
      </c>
      <c r="W213" s="20">
        <v>15000</v>
      </c>
      <c r="X213" s="16" t="s">
        <v>40</v>
      </c>
      <c r="Y213" s="21" t="s">
        <v>40</v>
      </c>
      <c r="Z213" s="20">
        <v>0</v>
      </c>
      <c r="AA213" s="17" t="s">
        <v>40</v>
      </c>
      <c r="AB213" s="22" t="s">
        <v>41</v>
      </c>
      <c r="AC213" s="23" t="str">
        <f t="shared" si="23"/>
        <v>E</v>
      </c>
      <c r="AD213" s="17">
        <v>0</v>
      </c>
      <c r="AE213" s="17">
        <v>0</v>
      </c>
      <c r="AF213" s="17">
        <v>0</v>
      </c>
      <c r="AG213" s="17">
        <v>0</v>
      </c>
      <c r="AH213" s="15" t="s">
        <v>42</v>
      </c>
    </row>
    <row r="214" spans="1:34">
      <c r="A214" s="13" t="str">
        <f t="shared" si="18"/>
        <v>ZeroZero</v>
      </c>
      <c r="B214" s="14" t="s">
        <v>394</v>
      </c>
      <c r="C214" s="15" t="s">
        <v>280</v>
      </c>
      <c r="D214" s="19" t="str">
        <f t="shared" si="19"/>
        <v>前八週無拉料</v>
      </c>
      <c r="E214" s="16" t="str">
        <f t="shared" si="20"/>
        <v>--</v>
      </c>
      <c r="F214" s="16" t="str">
        <f t="shared" si="21"/>
        <v>--</v>
      </c>
      <c r="G214" s="16" t="str">
        <f t="shared" si="22"/>
        <v>--</v>
      </c>
      <c r="H214" s="24" t="str">
        <f>IFERROR(VLOOKUP(B214,#REF!,8,FALSE),"")</f>
        <v/>
      </c>
      <c r="I214" s="17">
        <v>0</v>
      </c>
      <c r="J214" s="17">
        <v>0</v>
      </c>
      <c r="K214" s="24" t="str">
        <f>IFERROR(VLOOKUP(B214,#REF!,11,FALSE),"")</f>
        <v/>
      </c>
      <c r="L214" s="17">
        <v>3500</v>
      </c>
      <c r="M214" s="6" t="s">
        <v>748</v>
      </c>
      <c r="N214" s="18" t="str">
        <f>IFERROR(VLOOKUP(B214,#REF!,13,FALSE),"")</f>
        <v/>
      </c>
      <c r="O214" s="19" t="str">
        <f>IFERROR(VLOOKUP(B214,#REF!,14,FALSE),"")</f>
        <v/>
      </c>
      <c r="P214" s="19" t="str">
        <f>IFERROR(VLOOKUP(B214,#REF!,15,FALSE),"")</f>
        <v/>
      </c>
      <c r="Q214" s="19"/>
      <c r="R214" s="25" t="str">
        <f>IFERROR(VLOOKUP(B214,#REF!,16,FALSE),"")</f>
        <v/>
      </c>
      <c r="S214" s="17">
        <v>0</v>
      </c>
      <c r="T214" s="17">
        <v>3500</v>
      </c>
      <c r="U214" s="17">
        <v>0</v>
      </c>
      <c r="V214" s="17">
        <v>0</v>
      </c>
      <c r="W214" s="20">
        <v>3500</v>
      </c>
      <c r="X214" s="16" t="s">
        <v>40</v>
      </c>
      <c r="Y214" s="21" t="s">
        <v>40</v>
      </c>
      <c r="Z214" s="20">
        <v>0</v>
      </c>
      <c r="AA214" s="17" t="s">
        <v>40</v>
      </c>
      <c r="AB214" s="22" t="s">
        <v>41</v>
      </c>
      <c r="AC214" s="23" t="str">
        <f t="shared" si="23"/>
        <v>E</v>
      </c>
      <c r="AD214" s="17">
        <v>0</v>
      </c>
      <c r="AE214" s="17">
        <v>0</v>
      </c>
      <c r="AF214" s="17">
        <v>0</v>
      </c>
      <c r="AG214" s="17">
        <v>0</v>
      </c>
      <c r="AH214" s="15" t="s">
        <v>42</v>
      </c>
    </row>
    <row r="215" spans="1:34">
      <c r="A215" s="13" t="str">
        <f t="shared" si="18"/>
        <v>ZeroZero</v>
      </c>
      <c r="B215" s="14" t="s">
        <v>262</v>
      </c>
      <c r="C215" s="15" t="s">
        <v>255</v>
      </c>
      <c r="D215" s="19" t="str">
        <f t="shared" si="19"/>
        <v>前八週無拉料</v>
      </c>
      <c r="E215" s="16" t="str">
        <f t="shared" si="20"/>
        <v>--</v>
      </c>
      <c r="F215" s="16" t="str">
        <f t="shared" si="21"/>
        <v>--</v>
      </c>
      <c r="G215" s="16" t="str">
        <f t="shared" si="22"/>
        <v>--</v>
      </c>
      <c r="H215" s="24" t="str">
        <f>IFERROR(VLOOKUP(B215,#REF!,8,FALSE),"")</f>
        <v/>
      </c>
      <c r="I215" s="17">
        <v>0</v>
      </c>
      <c r="J215" s="17">
        <v>0</v>
      </c>
      <c r="K215" s="24" t="str">
        <f>IFERROR(VLOOKUP(B215,#REF!,11,FALSE),"")</f>
        <v/>
      </c>
      <c r="L215" s="17">
        <v>3000</v>
      </c>
      <c r="M215" s="6" t="s">
        <v>743</v>
      </c>
      <c r="N215" s="18" t="str">
        <f>IFERROR(VLOOKUP(B215,#REF!,13,FALSE),"")</f>
        <v/>
      </c>
      <c r="O215" s="19" t="str">
        <f>IFERROR(VLOOKUP(B215,#REF!,14,FALSE),"")</f>
        <v/>
      </c>
      <c r="P215" s="19" t="str">
        <f>IFERROR(VLOOKUP(B215,#REF!,15,FALSE),"")</f>
        <v/>
      </c>
      <c r="Q215" s="19"/>
      <c r="R215" s="25" t="str">
        <f>IFERROR(VLOOKUP(B215,#REF!,16,FALSE),"")</f>
        <v/>
      </c>
      <c r="S215" s="17">
        <v>0</v>
      </c>
      <c r="T215" s="17">
        <v>3000</v>
      </c>
      <c r="U215" s="17">
        <v>0</v>
      </c>
      <c r="V215" s="17">
        <v>0</v>
      </c>
      <c r="W215" s="20">
        <v>3000</v>
      </c>
      <c r="X215" s="16" t="s">
        <v>40</v>
      </c>
      <c r="Y215" s="21" t="s">
        <v>40</v>
      </c>
      <c r="Z215" s="20">
        <v>0</v>
      </c>
      <c r="AA215" s="17" t="s">
        <v>40</v>
      </c>
      <c r="AB215" s="22" t="s">
        <v>41</v>
      </c>
      <c r="AC215" s="23" t="str">
        <f t="shared" si="23"/>
        <v>E</v>
      </c>
      <c r="AD215" s="17">
        <v>0</v>
      </c>
      <c r="AE215" s="17">
        <v>0</v>
      </c>
      <c r="AF215" s="17">
        <v>0</v>
      </c>
      <c r="AG215" s="17">
        <v>0</v>
      </c>
      <c r="AH215" s="15" t="s">
        <v>42</v>
      </c>
    </row>
    <row r="216" spans="1:34">
      <c r="A216" s="13" t="str">
        <f t="shared" si="18"/>
        <v>ZeroZero</v>
      </c>
      <c r="B216" s="14" t="s">
        <v>561</v>
      </c>
      <c r="C216" s="15" t="s">
        <v>555</v>
      </c>
      <c r="D216" s="19" t="str">
        <f t="shared" si="19"/>
        <v>前八週無拉料</v>
      </c>
      <c r="E216" s="16" t="str">
        <f t="shared" si="20"/>
        <v>--</v>
      </c>
      <c r="F216" s="16" t="str">
        <f t="shared" si="21"/>
        <v>--</v>
      </c>
      <c r="G216" s="16" t="str">
        <f t="shared" si="22"/>
        <v>--</v>
      </c>
      <c r="H216" s="24" t="str">
        <f>IFERROR(VLOOKUP(B216,#REF!,8,FALSE),"")</f>
        <v/>
      </c>
      <c r="I216" s="17">
        <v>0</v>
      </c>
      <c r="J216" s="17">
        <v>0</v>
      </c>
      <c r="K216" s="24" t="str">
        <f>IFERROR(VLOOKUP(B216,#REF!,11,FALSE),"")</f>
        <v/>
      </c>
      <c r="L216" s="17">
        <v>15000</v>
      </c>
      <c r="M216" s="6" t="s">
        <v>752</v>
      </c>
      <c r="N216" s="18" t="str">
        <f>IFERROR(VLOOKUP(B216,#REF!,13,FALSE),"")</f>
        <v/>
      </c>
      <c r="O216" s="19" t="str">
        <f>IFERROR(VLOOKUP(B216,#REF!,14,FALSE),"")</f>
        <v/>
      </c>
      <c r="P216" s="19" t="str">
        <f>IFERROR(VLOOKUP(B216,#REF!,15,FALSE),"")</f>
        <v/>
      </c>
      <c r="Q216" s="19"/>
      <c r="R216" s="25" t="str">
        <f>IFERROR(VLOOKUP(B216,#REF!,16,FALSE),"")</f>
        <v/>
      </c>
      <c r="S216" s="17">
        <v>0</v>
      </c>
      <c r="T216" s="17">
        <v>15000</v>
      </c>
      <c r="U216" s="17">
        <v>0</v>
      </c>
      <c r="V216" s="17">
        <v>0</v>
      </c>
      <c r="W216" s="20">
        <v>15000</v>
      </c>
      <c r="X216" s="16" t="s">
        <v>40</v>
      </c>
      <c r="Y216" s="21" t="s">
        <v>40</v>
      </c>
      <c r="Z216" s="20">
        <v>0</v>
      </c>
      <c r="AA216" s="17" t="s">
        <v>40</v>
      </c>
      <c r="AB216" s="22" t="s">
        <v>41</v>
      </c>
      <c r="AC216" s="23" t="str">
        <f t="shared" si="23"/>
        <v>E</v>
      </c>
      <c r="AD216" s="17">
        <v>0</v>
      </c>
      <c r="AE216" s="17">
        <v>0</v>
      </c>
      <c r="AF216" s="17">
        <v>0</v>
      </c>
      <c r="AG216" s="17">
        <v>0</v>
      </c>
      <c r="AH216" s="15" t="s">
        <v>42</v>
      </c>
    </row>
    <row r="217" spans="1:34">
      <c r="A217" s="13" t="str">
        <f t="shared" si="18"/>
        <v>ZeroZero</v>
      </c>
      <c r="B217" s="14" t="s">
        <v>558</v>
      </c>
      <c r="C217" s="15" t="s">
        <v>555</v>
      </c>
      <c r="D217" s="19" t="str">
        <f t="shared" si="19"/>
        <v>前八週無拉料</v>
      </c>
      <c r="E217" s="16" t="str">
        <f t="shared" si="20"/>
        <v>--</v>
      </c>
      <c r="F217" s="16" t="str">
        <f t="shared" si="21"/>
        <v>--</v>
      </c>
      <c r="G217" s="16" t="str">
        <f t="shared" si="22"/>
        <v>--</v>
      </c>
      <c r="H217" s="24" t="str">
        <f>IFERROR(VLOOKUP(B217,#REF!,8,FALSE),"")</f>
        <v/>
      </c>
      <c r="I217" s="17">
        <v>0</v>
      </c>
      <c r="J217" s="17">
        <v>0</v>
      </c>
      <c r="K217" s="24" t="str">
        <f>IFERROR(VLOOKUP(B217,#REF!,11,FALSE),"")</f>
        <v/>
      </c>
      <c r="L217" s="17">
        <v>6000</v>
      </c>
      <c r="M217" s="6" t="s">
        <v>752</v>
      </c>
      <c r="N217" s="18" t="str">
        <f>IFERROR(VLOOKUP(B217,#REF!,13,FALSE),"")</f>
        <v/>
      </c>
      <c r="O217" s="19" t="str">
        <f>IFERROR(VLOOKUP(B217,#REF!,14,FALSE),"")</f>
        <v/>
      </c>
      <c r="P217" s="19" t="str">
        <f>IFERROR(VLOOKUP(B217,#REF!,15,FALSE),"")</f>
        <v/>
      </c>
      <c r="Q217" s="19"/>
      <c r="R217" s="25" t="str">
        <f>IFERROR(VLOOKUP(B217,#REF!,16,FALSE),"")</f>
        <v/>
      </c>
      <c r="S217" s="17">
        <v>0</v>
      </c>
      <c r="T217" s="17">
        <v>6000</v>
      </c>
      <c r="U217" s="17">
        <v>0</v>
      </c>
      <c r="V217" s="17">
        <v>0</v>
      </c>
      <c r="W217" s="20">
        <v>6000</v>
      </c>
      <c r="X217" s="16" t="s">
        <v>40</v>
      </c>
      <c r="Y217" s="21" t="s">
        <v>40</v>
      </c>
      <c r="Z217" s="20">
        <v>0</v>
      </c>
      <c r="AA217" s="17" t="s">
        <v>40</v>
      </c>
      <c r="AB217" s="22" t="s">
        <v>41</v>
      </c>
      <c r="AC217" s="23" t="str">
        <f t="shared" si="23"/>
        <v>E</v>
      </c>
      <c r="AD217" s="17">
        <v>0</v>
      </c>
      <c r="AE217" s="17">
        <v>0</v>
      </c>
      <c r="AF217" s="17">
        <v>0</v>
      </c>
      <c r="AG217" s="17">
        <v>0</v>
      </c>
      <c r="AH217" s="15" t="s">
        <v>42</v>
      </c>
    </row>
    <row r="218" spans="1:34">
      <c r="A218" s="13" t="str">
        <f t="shared" si="18"/>
        <v>ZeroZero</v>
      </c>
      <c r="B218" s="14" t="s">
        <v>346</v>
      </c>
      <c r="C218" s="15" t="s">
        <v>280</v>
      </c>
      <c r="D218" s="19" t="str">
        <f t="shared" si="19"/>
        <v>前八週無拉料</v>
      </c>
      <c r="E218" s="16" t="str">
        <f t="shared" si="20"/>
        <v>--</v>
      </c>
      <c r="F218" s="16" t="str">
        <f t="shared" si="21"/>
        <v>--</v>
      </c>
      <c r="G218" s="16" t="str">
        <f t="shared" si="22"/>
        <v>--</v>
      </c>
      <c r="H218" s="24" t="str">
        <f>IFERROR(VLOOKUP(B218,#REF!,8,FALSE),"")</f>
        <v/>
      </c>
      <c r="I218" s="17">
        <v>0</v>
      </c>
      <c r="J218" s="17">
        <v>0</v>
      </c>
      <c r="K218" s="24" t="str">
        <f>IFERROR(VLOOKUP(B218,#REF!,11,FALSE),"")</f>
        <v/>
      </c>
      <c r="L218" s="17">
        <v>3000</v>
      </c>
      <c r="M218" s="6" t="s">
        <v>748</v>
      </c>
      <c r="N218" s="18" t="str">
        <f>IFERROR(VLOOKUP(B218,#REF!,13,FALSE),"")</f>
        <v/>
      </c>
      <c r="O218" s="19" t="str">
        <f>IFERROR(VLOOKUP(B218,#REF!,14,FALSE),"")</f>
        <v/>
      </c>
      <c r="P218" s="19" t="str">
        <f>IFERROR(VLOOKUP(B218,#REF!,15,FALSE),"")</f>
        <v/>
      </c>
      <c r="Q218" s="19"/>
      <c r="R218" s="25" t="str">
        <f>IFERROR(VLOOKUP(B218,#REF!,16,FALSE),"")</f>
        <v/>
      </c>
      <c r="S218" s="17">
        <v>0</v>
      </c>
      <c r="T218" s="17">
        <v>3000</v>
      </c>
      <c r="U218" s="17">
        <v>0</v>
      </c>
      <c r="V218" s="17">
        <v>0</v>
      </c>
      <c r="W218" s="20">
        <v>3000</v>
      </c>
      <c r="X218" s="16" t="s">
        <v>40</v>
      </c>
      <c r="Y218" s="21" t="s">
        <v>40</v>
      </c>
      <c r="Z218" s="20">
        <v>0</v>
      </c>
      <c r="AA218" s="17" t="s">
        <v>40</v>
      </c>
      <c r="AB218" s="22" t="s">
        <v>41</v>
      </c>
      <c r="AC218" s="23" t="str">
        <f t="shared" si="23"/>
        <v>E</v>
      </c>
      <c r="AD218" s="17">
        <v>0</v>
      </c>
      <c r="AE218" s="17">
        <v>0</v>
      </c>
      <c r="AF218" s="17">
        <v>0</v>
      </c>
      <c r="AG218" s="17">
        <v>0</v>
      </c>
      <c r="AH218" s="15" t="s">
        <v>42</v>
      </c>
    </row>
    <row r="219" spans="1:34">
      <c r="A219" s="13" t="str">
        <f t="shared" si="18"/>
        <v>ZeroZero</v>
      </c>
      <c r="B219" s="14" t="s">
        <v>714</v>
      </c>
      <c r="C219" s="15" t="s">
        <v>709</v>
      </c>
      <c r="D219" s="19" t="str">
        <f t="shared" si="19"/>
        <v>前八週無拉料</v>
      </c>
      <c r="E219" s="16" t="str">
        <f t="shared" si="20"/>
        <v>--</v>
      </c>
      <c r="F219" s="16" t="str">
        <f t="shared" si="21"/>
        <v>--</v>
      </c>
      <c r="G219" s="16" t="str">
        <f t="shared" si="22"/>
        <v>--</v>
      </c>
      <c r="H219" s="24" t="str">
        <f>IFERROR(VLOOKUP(B219,#REF!,8,FALSE),"")</f>
        <v/>
      </c>
      <c r="I219" s="17">
        <v>0</v>
      </c>
      <c r="J219" s="17">
        <v>0</v>
      </c>
      <c r="K219" s="24" t="str">
        <f>IFERROR(VLOOKUP(B219,#REF!,11,FALSE),"")</f>
        <v/>
      </c>
      <c r="L219" s="17">
        <v>5000</v>
      </c>
      <c r="M219" s="6" t="s">
        <v>748</v>
      </c>
      <c r="N219" s="18" t="str">
        <f>IFERROR(VLOOKUP(B219,#REF!,13,FALSE),"")</f>
        <v/>
      </c>
      <c r="O219" s="19" t="str">
        <f>IFERROR(VLOOKUP(B219,#REF!,14,FALSE),"")</f>
        <v/>
      </c>
      <c r="P219" s="19" t="str">
        <f>IFERROR(VLOOKUP(B219,#REF!,15,FALSE),"")</f>
        <v/>
      </c>
      <c r="Q219" s="19"/>
      <c r="R219" s="25" t="str">
        <f>IFERROR(VLOOKUP(B219,#REF!,16,FALSE),"")</f>
        <v/>
      </c>
      <c r="S219" s="17">
        <v>0</v>
      </c>
      <c r="T219" s="17">
        <v>5000</v>
      </c>
      <c r="U219" s="17">
        <v>0</v>
      </c>
      <c r="V219" s="17">
        <v>0</v>
      </c>
      <c r="W219" s="20">
        <v>5000</v>
      </c>
      <c r="X219" s="16" t="s">
        <v>40</v>
      </c>
      <c r="Y219" s="21" t="s">
        <v>40</v>
      </c>
      <c r="Z219" s="20">
        <v>0</v>
      </c>
      <c r="AA219" s="17" t="s">
        <v>40</v>
      </c>
      <c r="AB219" s="22" t="s">
        <v>41</v>
      </c>
      <c r="AC219" s="23" t="str">
        <f t="shared" si="23"/>
        <v>E</v>
      </c>
      <c r="AD219" s="17">
        <v>0</v>
      </c>
      <c r="AE219" s="17">
        <v>0</v>
      </c>
      <c r="AF219" s="17">
        <v>0</v>
      </c>
      <c r="AG219" s="17">
        <v>0</v>
      </c>
      <c r="AH219" s="15" t="s">
        <v>42</v>
      </c>
    </row>
    <row r="220" spans="1:34">
      <c r="A220" s="13" t="str">
        <f t="shared" si="18"/>
        <v>ZeroZero</v>
      </c>
      <c r="B220" s="14" t="s">
        <v>719</v>
      </c>
      <c r="C220" s="15" t="s">
        <v>709</v>
      </c>
      <c r="D220" s="19" t="str">
        <f t="shared" si="19"/>
        <v>前八週無拉料</v>
      </c>
      <c r="E220" s="16" t="str">
        <f t="shared" si="20"/>
        <v>--</v>
      </c>
      <c r="F220" s="16" t="str">
        <f t="shared" si="21"/>
        <v>--</v>
      </c>
      <c r="G220" s="16" t="str">
        <f t="shared" si="22"/>
        <v>--</v>
      </c>
      <c r="H220" s="24" t="str">
        <f>IFERROR(VLOOKUP(B220,#REF!,8,FALSE),"")</f>
        <v/>
      </c>
      <c r="I220" s="17">
        <v>0</v>
      </c>
      <c r="J220" s="17">
        <v>0</v>
      </c>
      <c r="K220" s="24" t="str">
        <f>IFERROR(VLOOKUP(B220,#REF!,11,FALSE),"")</f>
        <v/>
      </c>
      <c r="L220" s="17">
        <v>5000</v>
      </c>
      <c r="M220" s="6" t="s">
        <v>748</v>
      </c>
      <c r="N220" s="18" t="str">
        <f>IFERROR(VLOOKUP(B220,#REF!,13,FALSE),"")</f>
        <v/>
      </c>
      <c r="O220" s="19" t="str">
        <f>IFERROR(VLOOKUP(B220,#REF!,14,FALSE),"")</f>
        <v/>
      </c>
      <c r="P220" s="19" t="str">
        <f>IFERROR(VLOOKUP(B220,#REF!,15,FALSE),"")</f>
        <v/>
      </c>
      <c r="Q220" s="19"/>
      <c r="R220" s="25" t="str">
        <f>IFERROR(VLOOKUP(B220,#REF!,16,FALSE),"")</f>
        <v/>
      </c>
      <c r="S220" s="17">
        <v>0</v>
      </c>
      <c r="T220" s="17">
        <v>5000</v>
      </c>
      <c r="U220" s="17">
        <v>0</v>
      </c>
      <c r="V220" s="17">
        <v>0</v>
      </c>
      <c r="W220" s="20">
        <v>5000</v>
      </c>
      <c r="X220" s="16" t="s">
        <v>40</v>
      </c>
      <c r="Y220" s="21" t="s">
        <v>40</v>
      </c>
      <c r="Z220" s="20">
        <v>0</v>
      </c>
      <c r="AA220" s="17" t="s">
        <v>40</v>
      </c>
      <c r="AB220" s="22" t="s">
        <v>41</v>
      </c>
      <c r="AC220" s="23" t="str">
        <f t="shared" si="23"/>
        <v>E</v>
      </c>
      <c r="AD220" s="17">
        <v>0</v>
      </c>
      <c r="AE220" s="17">
        <v>0</v>
      </c>
      <c r="AF220" s="17">
        <v>0</v>
      </c>
      <c r="AG220" s="17">
        <v>0</v>
      </c>
      <c r="AH220" s="15" t="s">
        <v>42</v>
      </c>
    </row>
    <row r="221" spans="1:34">
      <c r="A221" s="13" t="str">
        <f t="shared" si="18"/>
        <v>ZeroZero</v>
      </c>
      <c r="B221" s="14" t="s">
        <v>368</v>
      </c>
      <c r="C221" s="15" t="s">
        <v>280</v>
      </c>
      <c r="D221" s="19" t="str">
        <f t="shared" si="19"/>
        <v>前八週無拉料</v>
      </c>
      <c r="E221" s="16" t="str">
        <f t="shared" si="20"/>
        <v>--</v>
      </c>
      <c r="F221" s="16" t="str">
        <f t="shared" si="21"/>
        <v>--</v>
      </c>
      <c r="G221" s="16" t="str">
        <f t="shared" si="22"/>
        <v>--</v>
      </c>
      <c r="H221" s="24" t="str">
        <f>IFERROR(VLOOKUP(B221,#REF!,8,FALSE),"")</f>
        <v/>
      </c>
      <c r="I221" s="17">
        <v>0</v>
      </c>
      <c r="J221" s="17">
        <v>0</v>
      </c>
      <c r="K221" s="24" t="str">
        <f>IFERROR(VLOOKUP(B221,#REF!,11,FALSE),"")</f>
        <v/>
      </c>
      <c r="L221" s="17">
        <v>2500</v>
      </c>
      <c r="M221" s="6" t="s">
        <v>755</v>
      </c>
      <c r="N221" s="18" t="str">
        <f>IFERROR(VLOOKUP(B221,#REF!,13,FALSE),"")</f>
        <v/>
      </c>
      <c r="O221" s="19" t="str">
        <f>IFERROR(VLOOKUP(B221,#REF!,14,FALSE),"")</f>
        <v/>
      </c>
      <c r="P221" s="19" t="str">
        <f>IFERROR(VLOOKUP(B221,#REF!,15,FALSE),"")</f>
        <v/>
      </c>
      <c r="Q221" s="19"/>
      <c r="R221" s="25" t="str">
        <f>IFERROR(VLOOKUP(B221,#REF!,16,FALSE),"")</f>
        <v/>
      </c>
      <c r="S221" s="17">
        <v>0</v>
      </c>
      <c r="T221" s="17">
        <v>2500</v>
      </c>
      <c r="U221" s="17">
        <v>0</v>
      </c>
      <c r="V221" s="17">
        <v>0</v>
      </c>
      <c r="W221" s="20">
        <v>2500</v>
      </c>
      <c r="X221" s="16" t="s">
        <v>40</v>
      </c>
      <c r="Y221" s="21" t="s">
        <v>40</v>
      </c>
      <c r="Z221" s="20">
        <v>0</v>
      </c>
      <c r="AA221" s="17" t="s">
        <v>40</v>
      </c>
      <c r="AB221" s="22" t="s">
        <v>41</v>
      </c>
      <c r="AC221" s="23" t="str">
        <f t="shared" si="23"/>
        <v>E</v>
      </c>
      <c r="AD221" s="17">
        <v>0</v>
      </c>
      <c r="AE221" s="17">
        <v>0</v>
      </c>
      <c r="AF221" s="17">
        <v>0</v>
      </c>
      <c r="AG221" s="17">
        <v>0</v>
      </c>
      <c r="AH221" s="15" t="s">
        <v>42</v>
      </c>
    </row>
    <row r="222" spans="1:34">
      <c r="A222" s="13" t="str">
        <f t="shared" si="18"/>
        <v>ZeroZero</v>
      </c>
      <c r="B222" s="14" t="s">
        <v>734</v>
      </c>
      <c r="C222" s="15" t="s">
        <v>709</v>
      </c>
      <c r="D222" s="19" t="str">
        <f t="shared" si="19"/>
        <v>前八週無拉料</v>
      </c>
      <c r="E222" s="16" t="str">
        <f t="shared" si="20"/>
        <v>--</v>
      </c>
      <c r="F222" s="16" t="str">
        <f t="shared" si="21"/>
        <v>--</v>
      </c>
      <c r="G222" s="16" t="str">
        <f t="shared" si="22"/>
        <v>--</v>
      </c>
      <c r="H222" s="24" t="str">
        <f>IFERROR(VLOOKUP(B222,#REF!,8,FALSE),"")</f>
        <v/>
      </c>
      <c r="I222" s="17">
        <v>0</v>
      </c>
      <c r="J222" s="17">
        <v>0</v>
      </c>
      <c r="K222" s="24" t="str">
        <f>IFERROR(VLOOKUP(B222,#REF!,11,FALSE),"")</f>
        <v/>
      </c>
      <c r="L222" s="17">
        <v>2500</v>
      </c>
      <c r="M222" s="6" t="s">
        <v>752</v>
      </c>
      <c r="N222" s="18" t="str">
        <f>IFERROR(VLOOKUP(B222,#REF!,13,FALSE),"")</f>
        <v/>
      </c>
      <c r="O222" s="19" t="str">
        <f>IFERROR(VLOOKUP(B222,#REF!,14,FALSE),"")</f>
        <v/>
      </c>
      <c r="P222" s="19" t="str">
        <f>IFERROR(VLOOKUP(B222,#REF!,15,FALSE),"")</f>
        <v/>
      </c>
      <c r="Q222" s="19"/>
      <c r="R222" s="25" t="str">
        <f>IFERROR(VLOOKUP(B222,#REF!,16,FALSE),"")</f>
        <v/>
      </c>
      <c r="S222" s="17">
        <v>0</v>
      </c>
      <c r="T222" s="17">
        <v>2500</v>
      </c>
      <c r="U222" s="17">
        <v>0</v>
      </c>
      <c r="V222" s="17">
        <v>0</v>
      </c>
      <c r="W222" s="20">
        <v>2500</v>
      </c>
      <c r="X222" s="16" t="s">
        <v>40</v>
      </c>
      <c r="Y222" s="21" t="s">
        <v>40</v>
      </c>
      <c r="Z222" s="20">
        <v>0</v>
      </c>
      <c r="AA222" s="17" t="s">
        <v>40</v>
      </c>
      <c r="AB222" s="22" t="s">
        <v>41</v>
      </c>
      <c r="AC222" s="23" t="str">
        <f t="shared" si="23"/>
        <v>E</v>
      </c>
      <c r="AD222" s="17">
        <v>0</v>
      </c>
      <c r="AE222" s="17">
        <v>0</v>
      </c>
      <c r="AF222" s="17">
        <v>0</v>
      </c>
      <c r="AG222" s="17">
        <v>0</v>
      </c>
      <c r="AH222" s="15" t="s">
        <v>42</v>
      </c>
    </row>
    <row r="223" spans="1:34">
      <c r="A223" s="13" t="str">
        <f t="shared" si="18"/>
        <v>ZeroZero</v>
      </c>
      <c r="B223" s="14" t="s">
        <v>715</v>
      </c>
      <c r="C223" s="15" t="s">
        <v>709</v>
      </c>
      <c r="D223" s="19" t="str">
        <f t="shared" si="19"/>
        <v>前八週無拉料</v>
      </c>
      <c r="E223" s="16" t="str">
        <f t="shared" si="20"/>
        <v>--</v>
      </c>
      <c r="F223" s="16" t="str">
        <f t="shared" si="21"/>
        <v>--</v>
      </c>
      <c r="G223" s="16" t="str">
        <f t="shared" si="22"/>
        <v>--</v>
      </c>
      <c r="H223" s="24" t="str">
        <f>IFERROR(VLOOKUP(B223,#REF!,8,FALSE),"")</f>
        <v/>
      </c>
      <c r="I223" s="17">
        <v>0</v>
      </c>
      <c r="J223" s="17">
        <v>0</v>
      </c>
      <c r="K223" s="24" t="str">
        <f>IFERROR(VLOOKUP(B223,#REF!,11,FALSE),"")</f>
        <v/>
      </c>
      <c r="L223" s="17">
        <v>9000</v>
      </c>
      <c r="M223" s="6" t="s">
        <v>748</v>
      </c>
      <c r="N223" s="18" t="str">
        <f>IFERROR(VLOOKUP(B223,#REF!,13,FALSE),"")</f>
        <v/>
      </c>
      <c r="O223" s="19" t="str">
        <f>IFERROR(VLOOKUP(B223,#REF!,14,FALSE),"")</f>
        <v/>
      </c>
      <c r="P223" s="19" t="str">
        <f>IFERROR(VLOOKUP(B223,#REF!,15,FALSE),"")</f>
        <v/>
      </c>
      <c r="Q223" s="19"/>
      <c r="R223" s="25" t="str">
        <f>IFERROR(VLOOKUP(B223,#REF!,16,FALSE),"")</f>
        <v/>
      </c>
      <c r="S223" s="17">
        <v>0</v>
      </c>
      <c r="T223" s="17">
        <v>9000</v>
      </c>
      <c r="U223" s="17">
        <v>0</v>
      </c>
      <c r="V223" s="17">
        <v>0</v>
      </c>
      <c r="W223" s="20">
        <v>9000</v>
      </c>
      <c r="X223" s="16" t="s">
        <v>40</v>
      </c>
      <c r="Y223" s="21" t="s">
        <v>40</v>
      </c>
      <c r="Z223" s="20">
        <v>0</v>
      </c>
      <c r="AA223" s="17" t="s">
        <v>40</v>
      </c>
      <c r="AB223" s="22" t="s">
        <v>41</v>
      </c>
      <c r="AC223" s="23" t="str">
        <f t="shared" si="23"/>
        <v>E</v>
      </c>
      <c r="AD223" s="17">
        <v>0</v>
      </c>
      <c r="AE223" s="17">
        <v>0</v>
      </c>
      <c r="AF223" s="17">
        <v>0</v>
      </c>
      <c r="AG223" s="17">
        <v>0</v>
      </c>
      <c r="AH223" s="15" t="s">
        <v>42</v>
      </c>
    </row>
    <row r="224" spans="1:34">
      <c r="A224" s="13" t="str">
        <f t="shared" si="18"/>
        <v>ZeroZero</v>
      </c>
      <c r="B224" s="14" t="s">
        <v>318</v>
      </c>
      <c r="C224" s="15" t="s">
        <v>280</v>
      </c>
      <c r="D224" s="19" t="str">
        <f t="shared" si="19"/>
        <v>前八週無拉料</v>
      </c>
      <c r="E224" s="16" t="str">
        <f t="shared" si="20"/>
        <v>--</v>
      </c>
      <c r="F224" s="16" t="str">
        <f t="shared" si="21"/>
        <v>--</v>
      </c>
      <c r="G224" s="16" t="str">
        <f t="shared" si="22"/>
        <v>--</v>
      </c>
      <c r="H224" s="24" t="str">
        <f>IFERROR(VLOOKUP(B224,#REF!,8,FALSE),"")</f>
        <v/>
      </c>
      <c r="I224" s="17">
        <v>0</v>
      </c>
      <c r="J224" s="17">
        <v>0</v>
      </c>
      <c r="K224" s="24" t="str">
        <f>IFERROR(VLOOKUP(B224,#REF!,11,FALSE),"")</f>
        <v/>
      </c>
      <c r="L224" s="17">
        <v>3000</v>
      </c>
      <c r="M224" s="6" t="s">
        <v>748</v>
      </c>
      <c r="N224" s="18" t="str">
        <f>IFERROR(VLOOKUP(B224,#REF!,13,FALSE),"")</f>
        <v/>
      </c>
      <c r="O224" s="19" t="str">
        <f>IFERROR(VLOOKUP(B224,#REF!,14,FALSE),"")</f>
        <v/>
      </c>
      <c r="P224" s="19" t="str">
        <f>IFERROR(VLOOKUP(B224,#REF!,15,FALSE),"")</f>
        <v/>
      </c>
      <c r="Q224" s="19"/>
      <c r="R224" s="25" t="str">
        <f>IFERROR(VLOOKUP(B224,#REF!,16,FALSE),"")</f>
        <v/>
      </c>
      <c r="S224" s="17">
        <v>0</v>
      </c>
      <c r="T224" s="17">
        <v>0</v>
      </c>
      <c r="U224" s="17">
        <v>3000</v>
      </c>
      <c r="V224" s="17">
        <v>0</v>
      </c>
      <c r="W224" s="20">
        <v>3000</v>
      </c>
      <c r="X224" s="16" t="s">
        <v>40</v>
      </c>
      <c r="Y224" s="21" t="s">
        <v>40</v>
      </c>
      <c r="Z224" s="20">
        <v>0</v>
      </c>
      <c r="AA224" s="17" t="s">
        <v>40</v>
      </c>
      <c r="AB224" s="22" t="s">
        <v>41</v>
      </c>
      <c r="AC224" s="23" t="str">
        <f t="shared" si="23"/>
        <v>E</v>
      </c>
      <c r="AD224" s="17">
        <v>0</v>
      </c>
      <c r="AE224" s="17">
        <v>0</v>
      </c>
      <c r="AF224" s="17">
        <v>0</v>
      </c>
      <c r="AG224" s="17">
        <v>0</v>
      </c>
      <c r="AH224" s="15" t="s">
        <v>42</v>
      </c>
    </row>
    <row r="225" spans="1:34">
      <c r="A225" s="13" t="str">
        <f t="shared" si="18"/>
        <v>ZeroZero</v>
      </c>
      <c r="B225" s="14" t="s">
        <v>565</v>
      </c>
      <c r="C225" s="15" t="s">
        <v>555</v>
      </c>
      <c r="D225" s="19" t="str">
        <f t="shared" si="19"/>
        <v>前八週無拉料</v>
      </c>
      <c r="E225" s="16" t="str">
        <f t="shared" si="20"/>
        <v>--</v>
      </c>
      <c r="F225" s="16" t="str">
        <f t="shared" si="21"/>
        <v>--</v>
      </c>
      <c r="G225" s="16" t="str">
        <f t="shared" si="22"/>
        <v>--</v>
      </c>
      <c r="H225" s="24" t="str">
        <f>IFERROR(VLOOKUP(B225,#REF!,8,FALSE),"")</f>
        <v/>
      </c>
      <c r="I225" s="17">
        <v>0</v>
      </c>
      <c r="J225" s="17">
        <v>0</v>
      </c>
      <c r="K225" s="24" t="str">
        <f>IFERROR(VLOOKUP(B225,#REF!,11,FALSE),"")</f>
        <v/>
      </c>
      <c r="L225" s="17">
        <v>3000</v>
      </c>
      <c r="M225" s="6" t="s">
        <v>752</v>
      </c>
      <c r="N225" s="18" t="str">
        <f>IFERROR(VLOOKUP(B225,#REF!,13,FALSE),"")</f>
        <v/>
      </c>
      <c r="O225" s="19" t="str">
        <f>IFERROR(VLOOKUP(B225,#REF!,14,FALSE),"")</f>
        <v/>
      </c>
      <c r="P225" s="19" t="str">
        <f>IFERROR(VLOOKUP(B225,#REF!,15,FALSE),"")</f>
        <v/>
      </c>
      <c r="Q225" s="19"/>
      <c r="R225" s="25" t="str">
        <f>IFERROR(VLOOKUP(B225,#REF!,16,FALSE),"")</f>
        <v/>
      </c>
      <c r="S225" s="17">
        <v>0</v>
      </c>
      <c r="T225" s="17">
        <v>3000</v>
      </c>
      <c r="U225" s="17">
        <v>0</v>
      </c>
      <c r="V225" s="17">
        <v>0</v>
      </c>
      <c r="W225" s="20">
        <v>3000</v>
      </c>
      <c r="X225" s="16" t="s">
        <v>40</v>
      </c>
      <c r="Y225" s="21" t="s">
        <v>40</v>
      </c>
      <c r="Z225" s="20">
        <v>0</v>
      </c>
      <c r="AA225" s="17" t="s">
        <v>40</v>
      </c>
      <c r="AB225" s="22" t="s">
        <v>41</v>
      </c>
      <c r="AC225" s="23" t="str">
        <f t="shared" si="23"/>
        <v>E</v>
      </c>
      <c r="AD225" s="17">
        <v>0</v>
      </c>
      <c r="AE225" s="17">
        <v>0</v>
      </c>
      <c r="AF225" s="17">
        <v>0</v>
      </c>
      <c r="AG225" s="17">
        <v>0</v>
      </c>
      <c r="AH225" s="15" t="s">
        <v>42</v>
      </c>
    </row>
    <row r="226" spans="1:34">
      <c r="A226" s="13" t="str">
        <f t="shared" si="18"/>
        <v>ZeroZero</v>
      </c>
      <c r="B226" s="14" t="s">
        <v>660</v>
      </c>
      <c r="C226" s="15" t="s">
        <v>277</v>
      </c>
      <c r="D226" s="19" t="str">
        <f t="shared" si="19"/>
        <v>前八週無拉料</v>
      </c>
      <c r="E226" s="16" t="str">
        <f t="shared" si="20"/>
        <v>--</v>
      </c>
      <c r="F226" s="16" t="str">
        <f t="shared" si="21"/>
        <v>--</v>
      </c>
      <c r="G226" s="16" t="str">
        <f t="shared" si="22"/>
        <v>--</v>
      </c>
      <c r="H226" s="24" t="str">
        <f>IFERROR(VLOOKUP(B226,#REF!,8,FALSE),"")</f>
        <v/>
      </c>
      <c r="I226" s="17">
        <v>0</v>
      </c>
      <c r="J226" s="17">
        <v>0</v>
      </c>
      <c r="K226" s="24" t="str">
        <f>IFERROR(VLOOKUP(B226,#REF!,11,FALSE),"")</f>
        <v/>
      </c>
      <c r="L226" s="17">
        <v>3000</v>
      </c>
      <c r="M226" s="6" t="s">
        <v>748</v>
      </c>
      <c r="N226" s="18" t="str">
        <f>IFERROR(VLOOKUP(B226,#REF!,13,FALSE),"")</f>
        <v/>
      </c>
      <c r="O226" s="19" t="str">
        <f>IFERROR(VLOOKUP(B226,#REF!,14,FALSE),"")</f>
        <v/>
      </c>
      <c r="P226" s="19" t="str">
        <f>IFERROR(VLOOKUP(B226,#REF!,15,FALSE),"")</f>
        <v/>
      </c>
      <c r="Q226" s="19"/>
      <c r="R226" s="25" t="str">
        <f>IFERROR(VLOOKUP(B226,#REF!,16,FALSE),"")</f>
        <v/>
      </c>
      <c r="S226" s="17">
        <v>0</v>
      </c>
      <c r="T226" s="17">
        <v>3000</v>
      </c>
      <c r="U226" s="17">
        <v>0</v>
      </c>
      <c r="V226" s="17">
        <v>0</v>
      </c>
      <c r="W226" s="20">
        <v>3000</v>
      </c>
      <c r="X226" s="16" t="s">
        <v>40</v>
      </c>
      <c r="Y226" s="21" t="s">
        <v>40</v>
      </c>
      <c r="Z226" s="20">
        <v>0</v>
      </c>
      <c r="AA226" s="17" t="s">
        <v>40</v>
      </c>
      <c r="AB226" s="22" t="s">
        <v>41</v>
      </c>
      <c r="AC226" s="23" t="str">
        <f t="shared" si="23"/>
        <v>E</v>
      </c>
      <c r="AD226" s="17">
        <v>0</v>
      </c>
      <c r="AE226" s="17">
        <v>0</v>
      </c>
      <c r="AF226" s="17">
        <v>0</v>
      </c>
      <c r="AG226" s="17">
        <v>0</v>
      </c>
      <c r="AH226" s="15" t="s">
        <v>42</v>
      </c>
    </row>
    <row r="227" spans="1:34">
      <c r="A227" s="13" t="str">
        <f t="shared" si="18"/>
        <v>ZeroZero</v>
      </c>
      <c r="B227" s="14" t="s">
        <v>614</v>
      </c>
      <c r="C227" s="15" t="s">
        <v>608</v>
      </c>
      <c r="D227" s="19" t="str">
        <f t="shared" si="19"/>
        <v>前八週無拉料</v>
      </c>
      <c r="E227" s="16" t="str">
        <f t="shared" si="20"/>
        <v>--</v>
      </c>
      <c r="F227" s="16" t="str">
        <f t="shared" si="21"/>
        <v>--</v>
      </c>
      <c r="G227" s="16" t="str">
        <f t="shared" si="22"/>
        <v>--</v>
      </c>
      <c r="H227" s="24" t="str">
        <f>IFERROR(VLOOKUP(B227,#REF!,8,FALSE),"")</f>
        <v/>
      </c>
      <c r="I227" s="17">
        <v>33000</v>
      </c>
      <c r="J227" s="17">
        <v>0</v>
      </c>
      <c r="K227" s="24" t="str">
        <f>IFERROR(VLOOKUP(B227,#REF!,11,FALSE),"")</f>
        <v/>
      </c>
      <c r="L227" s="17">
        <v>6000</v>
      </c>
      <c r="M227" s="6" t="s">
        <v>758</v>
      </c>
      <c r="N227" s="18" t="str">
        <f>IFERROR(VLOOKUP(B227,#REF!,13,FALSE),"")</f>
        <v/>
      </c>
      <c r="O227" s="19" t="str">
        <f>IFERROR(VLOOKUP(B227,#REF!,14,FALSE),"")</f>
        <v/>
      </c>
      <c r="P227" s="19" t="str">
        <f>IFERROR(VLOOKUP(B227,#REF!,15,FALSE),"")</f>
        <v/>
      </c>
      <c r="Q227" s="19"/>
      <c r="R227" s="25" t="str">
        <f>IFERROR(VLOOKUP(B227,#REF!,16,FALSE),"")</f>
        <v/>
      </c>
      <c r="S227" s="17">
        <v>0</v>
      </c>
      <c r="T227" s="17">
        <v>6000</v>
      </c>
      <c r="U227" s="17">
        <v>0</v>
      </c>
      <c r="V227" s="17">
        <v>0</v>
      </c>
      <c r="W227" s="20">
        <v>39000</v>
      </c>
      <c r="X227" s="16" t="s">
        <v>40</v>
      </c>
      <c r="Y227" s="21" t="s">
        <v>40</v>
      </c>
      <c r="Z227" s="20">
        <v>0</v>
      </c>
      <c r="AA227" s="17" t="s">
        <v>40</v>
      </c>
      <c r="AB227" s="22" t="s">
        <v>41</v>
      </c>
      <c r="AC227" s="23" t="str">
        <f t="shared" si="23"/>
        <v>E</v>
      </c>
      <c r="AD227" s="17">
        <v>0</v>
      </c>
      <c r="AE227" s="17">
        <v>0</v>
      </c>
      <c r="AF227" s="17">
        <v>0</v>
      </c>
      <c r="AG227" s="17">
        <v>0</v>
      </c>
      <c r="AH227" s="15" t="s">
        <v>42</v>
      </c>
    </row>
    <row r="228" spans="1:34">
      <c r="A228" s="13" t="str">
        <f t="shared" si="18"/>
        <v>ZeroZero</v>
      </c>
      <c r="B228" s="14" t="s">
        <v>289</v>
      </c>
      <c r="C228" s="15" t="s">
        <v>280</v>
      </c>
      <c r="D228" s="19" t="str">
        <f t="shared" si="19"/>
        <v>前八週無拉料</v>
      </c>
      <c r="E228" s="16" t="str">
        <f t="shared" si="20"/>
        <v>--</v>
      </c>
      <c r="F228" s="16" t="str">
        <f t="shared" si="21"/>
        <v>--</v>
      </c>
      <c r="G228" s="16" t="str">
        <f t="shared" si="22"/>
        <v>--</v>
      </c>
      <c r="H228" s="24" t="str">
        <f>IFERROR(VLOOKUP(B228,#REF!,8,FALSE),"")</f>
        <v/>
      </c>
      <c r="I228" s="17">
        <v>0</v>
      </c>
      <c r="J228" s="17">
        <v>0</v>
      </c>
      <c r="K228" s="24" t="str">
        <f>IFERROR(VLOOKUP(B228,#REF!,11,FALSE),"")</f>
        <v/>
      </c>
      <c r="L228" s="17">
        <v>6000</v>
      </c>
      <c r="M228" s="6" t="s">
        <v>748</v>
      </c>
      <c r="N228" s="18" t="str">
        <f>IFERROR(VLOOKUP(B228,#REF!,13,FALSE),"")</f>
        <v/>
      </c>
      <c r="O228" s="19" t="str">
        <f>IFERROR(VLOOKUP(B228,#REF!,14,FALSE),"")</f>
        <v/>
      </c>
      <c r="P228" s="19" t="str">
        <f>IFERROR(VLOOKUP(B228,#REF!,15,FALSE),"")</f>
        <v/>
      </c>
      <c r="Q228" s="19"/>
      <c r="R228" s="25" t="str">
        <f>IFERROR(VLOOKUP(B228,#REF!,16,FALSE),"")</f>
        <v/>
      </c>
      <c r="S228" s="17">
        <v>0</v>
      </c>
      <c r="T228" s="17">
        <v>6000</v>
      </c>
      <c r="U228" s="17">
        <v>0</v>
      </c>
      <c r="V228" s="17">
        <v>0</v>
      </c>
      <c r="W228" s="20">
        <v>6000</v>
      </c>
      <c r="X228" s="16" t="s">
        <v>40</v>
      </c>
      <c r="Y228" s="21" t="s">
        <v>40</v>
      </c>
      <c r="Z228" s="20">
        <v>0</v>
      </c>
      <c r="AA228" s="17" t="s">
        <v>40</v>
      </c>
      <c r="AB228" s="22" t="s">
        <v>41</v>
      </c>
      <c r="AC228" s="23" t="str">
        <f t="shared" si="23"/>
        <v>E</v>
      </c>
      <c r="AD228" s="17">
        <v>0</v>
      </c>
      <c r="AE228" s="17">
        <v>0</v>
      </c>
      <c r="AF228" s="17">
        <v>0</v>
      </c>
      <c r="AG228" s="17">
        <v>0</v>
      </c>
      <c r="AH228" s="15" t="s">
        <v>42</v>
      </c>
    </row>
    <row r="229" spans="1:34">
      <c r="A229" s="13" t="str">
        <f t="shared" si="18"/>
        <v>ZeroZero</v>
      </c>
      <c r="B229" s="14" t="s">
        <v>738</v>
      </c>
      <c r="C229" s="15" t="s">
        <v>709</v>
      </c>
      <c r="D229" s="19" t="str">
        <f t="shared" si="19"/>
        <v>前八週無拉料</v>
      </c>
      <c r="E229" s="16" t="str">
        <f t="shared" si="20"/>
        <v>--</v>
      </c>
      <c r="F229" s="16" t="str">
        <f t="shared" si="21"/>
        <v>--</v>
      </c>
      <c r="G229" s="16" t="str">
        <f t="shared" si="22"/>
        <v>--</v>
      </c>
      <c r="H229" s="24" t="str">
        <f>IFERROR(VLOOKUP(B229,#REF!,8,FALSE),"")</f>
        <v/>
      </c>
      <c r="I229" s="17">
        <v>0</v>
      </c>
      <c r="J229" s="17">
        <v>0</v>
      </c>
      <c r="K229" s="24" t="str">
        <f>IFERROR(VLOOKUP(B229,#REF!,11,FALSE),"")</f>
        <v/>
      </c>
      <c r="L229" s="17">
        <v>3000</v>
      </c>
      <c r="M229" s="6" t="s">
        <v>748</v>
      </c>
      <c r="N229" s="18" t="str">
        <f>IFERROR(VLOOKUP(B229,#REF!,13,FALSE),"")</f>
        <v/>
      </c>
      <c r="O229" s="19" t="str">
        <f>IFERROR(VLOOKUP(B229,#REF!,14,FALSE),"")</f>
        <v/>
      </c>
      <c r="P229" s="19" t="str">
        <f>IFERROR(VLOOKUP(B229,#REF!,15,FALSE),"")</f>
        <v/>
      </c>
      <c r="Q229" s="19"/>
      <c r="R229" s="25" t="str">
        <f>IFERROR(VLOOKUP(B229,#REF!,16,FALSE),"")</f>
        <v/>
      </c>
      <c r="S229" s="17">
        <v>0</v>
      </c>
      <c r="T229" s="17">
        <v>3000</v>
      </c>
      <c r="U229" s="17">
        <v>0</v>
      </c>
      <c r="V229" s="17">
        <v>0</v>
      </c>
      <c r="W229" s="20">
        <v>3000</v>
      </c>
      <c r="X229" s="16" t="s">
        <v>40</v>
      </c>
      <c r="Y229" s="21" t="s">
        <v>40</v>
      </c>
      <c r="Z229" s="20">
        <v>0</v>
      </c>
      <c r="AA229" s="17" t="s">
        <v>40</v>
      </c>
      <c r="AB229" s="22" t="s">
        <v>41</v>
      </c>
      <c r="AC229" s="23" t="str">
        <f t="shared" si="23"/>
        <v>E</v>
      </c>
      <c r="AD229" s="17">
        <v>0</v>
      </c>
      <c r="AE229" s="17">
        <v>0</v>
      </c>
      <c r="AF229" s="17">
        <v>0</v>
      </c>
      <c r="AG229" s="17">
        <v>0</v>
      </c>
      <c r="AH229" s="15" t="s">
        <v>42</v>
      </c>
    </row>
    <row r="230" spans="1:34">
      <c r="A230" s="13" t="str">
        <f t="shared" si="18"/>
        <v>ZeroZero</v>
      </c>
      <c r="B230" s="14" t="s">
        <v>168</v>
      </c>
      <c r="C230" s="15" t="s">
        <v>46</v>
      </c>
      <c r="D230" s="19" t="str">
        <f t="shared" si="19"/>
        <v>前八週無拉料</v>
      </c>
      <c r="E230" s="16" t="str">
        <f t="shared" si="20"/>
        <v>--</v>
      </c>
      <c r="F230" s="16" t="str">
        <f t="shared" si="21"/>
        <v>--</v>
      </c>
      <c r="G230" s="16" t="str">
        <f t="shared" si="22"/>
        <v>--</v>
      </c>
      <c r="H230" s="24" t="str">
        <f>IFERROR(VLOOKUP(B230,#REF!,8,FALSE),"")</f>
        <v/>
      </c>
      <c r="I230" s="17">
        <v>9260</v>
      </c>
      <c r="J230" s="17">
        <v>9260</v>
      </c>
      <c r="K230" s="24" t="str">
        <f>IFERROR(VLOOKUP(B230,#REF!,11,FALSE),"")</f>
        <v/>
      </c>
      <c r="L230" s="17">
        <v>280</v>
      </c>
      <c r="M230" s="6" t="s">
        <v>745</v>
      </c>
      <c r="N230" s="18" t="str">
        <f>IFERROR(VLOOKUP(B230,#REF!,13,FALSE),"")</f>
        <v/>
      </c>
      <c r="O230" s="19" t="str">
        <f>IFERROR(VLOOKUP(B230,#REF!,14,FALSE),"")</f>
        <v/>
      </c>
      <c r="P230" s="19" t="str">
        <f>IFERROR(VLOOKUP(B230,#REF!,15,FALSE),"")</f>
        <v/>
      </c>
      <c r="Q230" s="19"/>
      <c r="R230" s="25" t="str">
        <f>IFERROR(VLOOKUP(B230,#REF!,16,FALSE),"")</f>
        <v/>
      </c>
      <c r="S230" s="17">
        <v>0</v>
      </c>
      <c r="T230" s="17">
        <v>280</v>
      </c>
      <c r="U230" s="17">
        <v>0</v>
      </c>
      <c r="V230" s="17">
        <v>0</v>
      </c>
      <c r="W230" s="20">
        <v>9540</v>
      </c>
      <c r="X230" s="16" t="s">
        <v>40</v>
      </c>
      <c r="Y230" s="21" t="s">
        <v>40</v>
      </c>
      <c r="Z230" s="20">
        <v>0</v>
      </c>
      <c r="AA230" s="17" t="s">
        <v>40</v>
      </c>
      <c r="AB230" s="22" t="s">
        <v>41</v>
      </c>
      <c r="AC230" s="23" t="str">
        <f t="shared" si="23"/>
        <v>E</v>
      </c>
      <c r="AD230" s="17">
        <v>0</v>
      </c>
      <c r="AE230" s="17">
        <v>0</v>
      </c>
      <c r="AF230" s="17">
        <v>0</v>
      </c>
      <c r="AG230" s="17">
        <v>0</v>
      </c>
      <c r="AH230" s="15" t="s">
        <v>42</v>
      </c>
    </row>
    <row r="231" spans="1:34">
      <c r="A231" s="13" t="str">
        <f t="shared" si="18"/>
        <v>ZeroZero</v>
      </c>
      <c r="B231" s="14" t="s">
        <v>590</v>
      </c>
      <c r="C231" s="15" t="s">
        <v>277</v>
      </c>
      <c r="D231" s="19" t="str">
        <f t="shared" si="19"/>
        <v>前八週無拉料</v>
      </c>
      <c r="E231" s="16" t="str">
        <f t="shared" si="20"/>
        <v>--</v>
      </c>
      <c r="F231" s="16" t="str">
        <f t="shared" si="21"/>
        <v>--</v>
      </c>
      <c r="G231" s="16" t="str">
        <f t="shared" si="22"/>
        <v>--</v>
      </c>
      <c r="H231" s="24" t="str">
        <f>IFERROR(VLOOKUP(B231,#REF!,8,FALSE),"")</f>
        <v/>
      </c>
      <c r="I231" s="17">
        <v>0</v>
      </c>
      <c r="J231" s="17">
        <v>0</v>
      </c>
      <c r="K231" s="24" t="str">
        <f>IFERROR(VLOOKUP(B231,#REF!,11,FALSE),"")</f>
        <v/>
      </c>
      <c r="L231" s="17">
        <v>3000</v>
      </c>
      <c r="M231" s="6" t="s">
        <v>752</v>
      </c>
      <c r="N231" s="18" t="str">
        <f>IFERROR(VLOOKUP(B231,#REF!,13,FALSE),"")</f>
        <v/>
      </c>
      <c r="O231" s="19" t="str">
        <f>IFERROR(VLOOKUP(B231,#REF!,14,FALSE),"")</f>
        <v/>
      </c>
      <c r="P231" s="19" t="str">
        <f>IFERROR(VLOOKUP(B231,#REF!,15,FALSE),"")</f>
        <v/>
      </c>
      <c r="Q231" s="19"/>
      <c r="R231" s="25" t="str">
        <f>IFERROR(VLOOKUP(B231,#REF!,16,FALSE),"")</f>
        <v/>
      </c>
      <c r="S231" s="17">
        <v>0</v>
      </c>
      <c r="T231" s="17">
        <v>3000</v>
      </c>
      <c r="U231" s="17">
        <v>0</v>
      </c>
      <c r="V231" s="17">
        <v>0</v>
      </c>
      <c r="W231" s="20">
        <v>3000</v>
      </c>
      <c r="X231" s="16" t="s">
        <v>40</v>
      </c>
      <c r="Y231" s="21" t="s">
        <v>40</v>
      </c>
      <c r="Z231" s="20">
        <v>0</v>
      </c>
      <c r="AA231" s="17" t="s">
        <v>40</v>
      </c>
      <c r="AB231" s="22" t="s">
        <v>41</v>
      </c>
      <c r="AC231" s="23" t="str">
        <f t="shared" si="23"/>
        <v>E</v>
      </c>
      <c r="AD231" s="17">
        <v>0</v>
      </c>
      <c r="AE231" s="17">
        <v>0</v>
      </c>
      <c r="AF231" s="17">
        <v>0</v>
      </c>
      <c r="AG231" s="17">
        <v>0</v>
      </c>
      <c r="AH231" s="15" t="s">
        <v>42</v>
      </c>
    </row>
    <row r="232" spans="1:34">
      <c r="A232" s="13" t="str">
        <f t="shared" si="18"/>
        <v>ZeroZero</v>
      </c>
      <c r="B232" s="14" t="s">
        <v>710</v>
      </c>
      <c r="C232" s="15" t="s">
        <v>709</v>
      </c>
      <c r="D232" s="19" t="str">
        <f t="shared" si="19"/>
        <v>前八週無拉料</v>
      </c>
      <c r="E232" s="16" t="str">
        <f t="shared" si="20"/>
        <v>--</v>
      </c>
      <c r="F232" s="16" t="str">
        <f t="shared" si="21"/>
        <v>--</v>
      </c>
      <c r="G232" s="16" t="str">
        <f t="shared" si="22"/>
        <v>--</v>
      </c>
      <c r="H232" s="24" t="str">
        <f>IFERROR(VLOOKUP(B232,#REF!,8,FALSE),"")</f>
        <v/>
      </c>
      <c r="I232" s="17">
        <v>0</v>
      </c>
      <c r="J232" s="17">
        <v>0</v>
      </c>
      <c r="K232" s="24" t="str">
        <f>IFERROR(VLOOKUP(B232,#REF!,11,FALSE),"")</f>
        <v/>
      </c>
      <c r="L232" s="17">
        <v>2500</v>
      </c>
      <c r="M232" s="6" t="s">
        <v>748</v>
      </c>
      <c r="N232" s="18" t="str">
        <f>IFERROR(VLOOKUP(B232,#REF!,13,FALSE),"")</f>
        <v/>
      </c>
      <c r="O232" s="19" t="str">
        <f>IFERROR(VLOOKUP(B232,#REF!,14,FALSE),"")</f>
        <v/>
      </c>
      <c r="P232" s="19" t="str">
        <f>IFERROR(VLOOKUP(B232,#REF!,15,FALSE),"")</f>
        <v/>
      </c>
      <c r="Q232" s="19"/>
      <c r="R232" s="25" t="str">
        <f>IFERROR(VLOOKUP(B232,#REF!,16,FALSE),"")</f>
        <v/>
      </c>
      <c r="S232" s="17">
        <v>0</v>
      </c>
      <c r="T232" s="17">
        <v>2500</v>
      </c>
      <c r="U232" s="17">
        <v>0</v>
      </c>
      <c r="V232" s="17">
        <v>0</v>
      </c>
      <c r="W232" s="20">
        <v>2500</v>
      </c>
      <c r="X232" s="16" t="s">
        <v>40</v>
      </c>
      <c r="Y232" s="21" t="s">
        <v>40</v>
      </c>
      <c r="Z232" s="20">
        <v>0</v>
      </c>
      <c r="AA232" s="17" t="s">
        <v>40</v>
      </c>
      <c r="AB232" s="22" t="s">
        <v>41</v>
      </c>
      <c r="AC232" s="23" t="str">
        <f t="shared" si="23"/>
        <v>E</v>
      </c>
      <c r="AD232" s="17">
        <v>0</v>
      </c>
      <c r="AE232" s="17">
        <v>0</v>
      </c>
      <c r="AF232" s="17">
        <v>0</v>
      </c>
      <c r="AG232" s="17">
        <v>0</v>
      </c>
      <c r="AH232" s="15" t="s">
        <v>42</v>
      </c>
    </row>
    <row r="233" spans="1:34">
      <c r="A233" s="13" t="str">
        <f t="shared" si="18"/>
        <v>ZeroZero</v>
      </c>
      <c r="B233" s="14" t="s">
        <v>566</v>
      </c>
      <c r="C233" s="15" t="s">
        <v>555</v>
      </c>
      <c r="D233" s="19" t="str">
        <f t="shared" si="19"/>
        <v>前八週無拉料</v>
      </c>
      <c r="E233" s="16" t="str">
        <f t="shared" si="20"/>
        <v>--</v>
      </c>
      <c r="F233" s="16" t="str">
        <f t="shared" si="21"/>
        <v>--</v>
      </c>
      <c r="G233" s="16" t="str">
        <f t="shared" si="22"/>
        <v>--</v>
      </c>
      <c r="H233" s="24" t="str">
        <f>IFERROR(VLOOKUP(B233,#REF!,8,FALSE),"")</f>
        <v/>
      </c>
      <c r="I233" s="17">
        <v>0</v>
      </c>
      <c r="J233" s="17">
        <v>0</v>
      </c>
      <c r="K233" s="24" t="str">
        <f>IFERROR(VLOOKUP(B233,#REF!,11,FALSE),"")</f>
        <v/>
      </c>
      <c r="L233" s="17">
        <v>6000</v>
      </c>
      <c r="M233" s="6" t="s">
        <v>752</v>
      </c>
      <c r="N233" s="18" t="str">
        <f>IFERROR(VLOOKUP(B233,#REF!,13,FALSE),"")</f>
        <v/>
      </c>
      <c r="O233" s="19" t="str">
        <f>IFERROR(VLOOKUP(B233,#REF!,14,FALSE),"")</f>
        <v/>
      </c>
      <c r="P233" s="19" t="str">
        <f>IFERROR(VLOOKUP(B233,#REF!,15,FALSE),"")</f>
        <v/>
      </c>
      <c r="Q233" s="19"/>
      <c r="R233" s="25" t="str">
        <f>IFERROR(VLOOKUP(B233,#REF!,16,FALSE),"")</f>
        <v/>
      </c>
      <c r="S233" s="17">
        <v>0</v>
      </c>
      <c r="T233" s="17">
        <v>6000</v>
      </c>
      <c r="U233" s="17">
        <v>0</v>
      </c>
      <c r="V233" s="17">
        <v>0</v>
      </c>
      <c r="W233" s="20">
        <v>6000</v>
      </c>
      <c r="X233" s="16" t="s">
        <v>40</v>
      </c>
      <c r="Y233" s="21" t="s">
        <v>40</v>
      </c>
      <c r="Z233" s="20">
        <v>0</v>
      </c>
      <c r="AA233" s="17" t="s">
        <v>40</v>
      </c>
      <c r="AB233" s="22" t="s">
        <v>41</v>
      </c>
      <c r="AC233" s="23" t="str">
        <f t="shared" si="23"/>
        <v>E</v>
      </c>
      <c r="AD233" s="17">
        <v>0</v>
      </c>
      <c r="AE233" s="17">
        <v>0</v>
      </c>
      <c r="AF233" s="17">
        <v>0</v>
      </c>
      <c r="AG233" s="17">
        <v>0</v>
      </c>
      <c r="AH233" s="15" t="s">
        <v>42</v>
      </c>
    </row>
    <row r="234" spans="1:34">
      <c r="A234" s="13" t="str">
        <f t="shared" si="18"/>
        <v>ZeroZero</v>
      </c>
      <c r="B234" s="14" t="s">
        <v>380</v>
      </c>
      <c r="C234" s="15" t="s">
        <v>280</v>
      </c>
      <c r="D234" s="19" t="str">
        <f t="shared" si="19"/>
        <v>前八週無拉料</v>
      </c>
      <c r="E234" s="16" t="str">
        <f t="shared" si="20"/>
        <v>--</v>
      </c>
      <c r="F234" s="16" t="str">
        <f t="shared" si="21"/>
        <v>--</v>
      </c>
      <c r="G234" s="16" t="str">
        <f t="shared" si="22"/>
        <v>--</v>
      </c>
      <c r="H234" s="24" t="str">
        <f>IFERROR(VLOOKUP(B234,#REF!,8,FALSE),"")</f>
        <v/>
      </c>
      <c r="I234" s="17">
        <v>2500</v>
      </c>
      <c r="J234" s="17">
        <v>0</v>
      </c>
      <c r="K234" s="24" t="str">
        <f>IFERROR(VLOOKUP(B234,#REF!,11,FALSE),"")</f>
        <v/>
      </c>
      <c r="L234" s="17">
        <v>2450</v>
      </c>
      <c r="M234" s="6" t="s">
        <v>748</v>
      </c>
      <c r="N234" s="18" t="str">
        <f>IFERROR(VLOOKUP(B234,#REF!,13,FALSE),"")</f>
        <v/>
      </c>
      <c r="O234" s="19" t="str">
        <f>IFERROR(VLOOKUP(B234,#REF!,14,FALSE),"")</f>
        <v/>
      </c>
      <c r="P234" s="19" t="str">
        <f>IFERROR(VLOOKUP(B234,#REF!,15,FALSE),"")</f>
        <v/>
      </c>
      <c r="Q234" s="19"/>
      <c r="R234" s="25" t="str">
        <f>IFERROR(VLOOKUP(B234,#REF!,16,FALSE),"")</f>
        <v/>
      </c>
      <c r="S234" s="17">
        <v>0</v>
      </c>
      <c r="T234" s="17">
        <v>2450</v>
      </c>
      <c r="U234" s="17">
        <v>0</v>
      </c>
      <c r="V234" s="17">
        <v>0</v>
      </c>
      <c r="W234" s="20">
        <v>4950</v>
      </c>
      <c r="X234" s="16" t="s">
        <v>40</v>
      </c>
      <c r="Y234" s="21" t="s">
        <v>40</v>
      </c>
      <c r="Z234" s="20">
        <v>0</v>
      </c>
      <c r="AA234" s="17" t="s">
        <v>40</v>
      </c>
      <c r="AB234" s="22" t="s">
        <v>41</v>
      </c>
      <c r="AC234" s="23" t="str">
        <f t="shared" si="23"/>
        <v>E</v>
      </c>
      <c r="AD234" s="17">
        <v>0</v>
      </c>
      <c r="AE234" s="17">
        <v>0</v>
      </c>
      <c r="AF234" s="17">
        <v>0</v>
      </c>
      <c r="AG234" s="17">
        <v>0</v>
      </c>
      <c r="AH234" s="15" t="s">
        <v>42</v>
      </c>
    </row>
    <row r="235" spans="1:34">
      <c r="A235" s="13" t="str">
        <f t="shared" si="18"/>
        <v>ZeroZero</v>
      </c>
      <c r="B235" s="14" t="s">
        <v>437</v>
      </c>
      <c r="C235" s="15" t="s">
        <v>280</v>
      </c>
      <c r="D235" s="19" t="str">
        <f t="shared" si="19"/>
        <v>前八週無拉料</v>
      </c>
      <c r="E235" s="16" t="str">
        <f t="shared" si="20"/>
        <v>--</v>
      </c>
      <c r="F235" s="16" t="str">
        <f t="shared" si="21"/>
        <v>--</v>
      </c>
      <c r="G235" s="16" t="str">
        <f t="shared" si="22"/>
        <v>--</v>
      </c>
      <c r="H235" s="24" t="str">
        <f>IFERROR(VLOOKUP(B235,#REF!,8,FALSE),"")</f>
        <v/>
      </c>
      <c r="I235" s="17">
        <v>0</v>
      </c>
      <c r="J235" s="17">
        <v>0</v>
      </c>
      <c r="K235" s="24" t="str">
        <f>IFERROR(VLOOKUP(B235,#REF!,11,FALSE),"")</f>
        <v/>
      </c>
      <c r="L235" s="17">
        <v>3000</v>
      </c>
      <c r="M235" s="6" t="s">
        <v>748</v>
      </c>
      <c r="N235" s="18" t="str">
        <f>IFERROR(VLOOKUP(B235,#REF!,13,FALSE),"")</f>
        <v/>
      </c>
      <c r="O235" s="19" t="str">
        <f>IFERROR(VLOOKUP(B235,#REF!,14,FALSE),"")</f>
        <v/>
      </c>
      <c r="P235" s="19" t="str">
        <f>IFERROR(VLOOKUP(B235,#REF!,15,FALSE),"")</f>
        <v/>
      </c>
      <c r="Q235" s="19"/>
      <c r="R235" s="25" t="str">
        <f>IFERROR(VLOOKUP(B235,#REF!,16,FALSE),"")</f>
        <v/>
      </c>
      <c r="S235" s="17">
        <v>0</v>
      </c>
      <c r="T235" s="17">
        <v>0</v>
      </c>
      <c r="U235" s="17">
        <v>3000</v>
      </c>
      <c r="V235" s="17">
        <v>0</v>
      </c>
      <c r="W235" s="20">
        <v>3000</v>
      </c>
      <c r="X235" s="16" t="s">
        <v>40</v>
      </c>
      <c r="Y235" s="21" t="s">
        <v>40</v>
      </c>
      <c r="Z235" s="20">
        <v>0</v>
      </c>
      <c r="AA235" s="17" t="s">
        <v>40</v>
      </c>
      <c r="AB235" s="22" t="s">
        <v>41</v>
      </c>
      <c r="AC235" s="23" t="str">
        <f t="shared" si="23"/>
        <v>E</v>
      </c>
      <c r="AD235" s="17">
        <v>0</v>
      </c>
      <c r="AE235" s="17">
        <v>0</v>
      </c>
      <c r="AF235" s="17">
        <v>0</v>
      </c>
      <c r="AG235" s="17">
        <v>0</v>
      </c>
      <c r="AH235" s="15" t="s">
        <v>42</v>
      </c>
    </row>
    <row r="236" spans="1:34">
      <c r="A236" s="13" t="str">
        <f t="shared" si="18"/>
        <v>ZeroZero</v>
      </c>
      <c r="B236" s="14" t="s">
        <v>513</v>
      </c>
      <c r="C236" s="15" t="s">
        <v>280</v>
      </c>
      <c r="D236" s="19" t="str">
        <f t="shared" si="19"/>
        <v>前八週無拉料</v>
      </c>
      <c r="E236" s="16" t="str">
        <f t="shared" si="20"/>
        <v>--</v>
      </c>
      <c r="F236" s="16" t="str">
        <f t="shared" si="21"/>
        <v>--</v>
      </c>
      <c r="G236" s="16" t="str">
        <f t="shared" si="22"/>
        <v>--</v>
      </c>
      <c r="H236" s="24" t="str">
        <f>IFERROR(VLOOKUP(B236,#REF!,8,FALSE),"")</f>
        <v/>
      </c>
      <c r="I236" s="17">
        <v>0</v>
      </c>
      <c r="J236" s="17">
        <v>0</v>
      </c>
      <c r="K236" s="24" t="str">
        <f>IFERROR(VLOOKUP(B236,#REF!,11,FALSE),"")</f>
        <v/>
      </c>
      <c r="L236" s="17">
        <v>3000</v>
      </c>
      <c r="M236" s="6" t="s">
        <v>752</v>
      </c>
      <c r="N236" s="18" t="str">
        <f>IFERROR(VLOOKUP(B236,#REF!,13,FALSE),"")</f>
        <v/>
      </c>
      <c r="O236" s="19" t="str">
        <f>IFERROR(VLOOKUP(B236,#REF!,14,FALSE),"")</f>
        <v/>
      </c>
      <c r="P236" s="19" t="str">
        <f>IFERROR(VLOOKUP(B236,#REF!,15,FALSE),"")</f>
        <v/>
      </c>
      <c r="Q236" s="19"/>
      <c r="R236" s="25" t="str">
        <f>IFERROR(VLOOKUP(B236,#REF!,16,FALSE),"")</f>
        <v/>
      </c>
      <c r="S236" s="17">
        <v>0</v>
      </c>
      <c r="T236" s="17">
        <v>3000</v>
      </c>
      <c r="U236" s="17">
        <v>0</v>
      </c>
      <c r="V236" s="17">
        <v>0</v>
      </c>
      <c r="W236" s="20">
        <v>3000</v>
      </c>
      <c r="X236" s="16" t="s">
        <v>40</v>
      </c>
      <c r="Y236" s="21" t="s">
        <v>40</v>
      </c>
      <c r="Z236" s="20">
        <v>0</v>
      </c>
      <c r="AA236" s="17" t="s">
        <v>40</v>
      </c>
      <c r="AB236" s="22" t="s">
        <v>41</v>
      </c>
      <c r="AC236" s="23" t="str">
        <f t="shared" si="23"/>
        <v>E</v>
      </c>
      <c r="AD236" s="17">
        <v>0</v>
      </c>
      <c r="AE236" s="17">
        <v>0</v>
      </c>
      <c r="AF236" s="17">
        <v>0</v>
      </c>
      <c r="AG236" s="17">
        <v>0</v>
      </c>
      <c r="AH236" s="15" t="s">
        <v>42</v>
      </c>
    </row>
    <row r="237" spans="1:34">
      <c r="A237" s="13" t="str">
        <f t="shared" si="18"/>
        <v>ZeroZero</v>
      </c>
      <c r="B237" s="14" t="s">
        <v>435</v>
      </c>
      <c r="C237" s="15" t="s">
        <v>280</v>
      </c>
      <c r="D237" s="19" t="str">
        <f t="shared" si="19"/>
        <v>前八週無拉料</v>
      </c>
      <c r="E237" s="16" t="str">
        <f t="shared" si="20"/>
        <v>--</v>
      </c>
      <c r="F237" s="16" t="str">
        <f t="shared" si="21"/>
        <v>--</v>
      </c>
      <c r="G237" s="16" t="str">
        <f t="shared" si="22"/>
        <v>--</v>
      </c>
      <c r="H237" s="24" t="str">
        <f>IFERROR(VLOOKUP(B237,#REF!,8,FALSE),"")</f>
        <v/>
      </c>
      <c r="I237" s="17">
        <v>0</v>
      </c>
      <c r="J237" s="17">
        <v>0</v>
      </c>
      <c r="K237" s="24" t="str">
        <f>IFERROR(VLOOKUP(B237,#REF!,11,FALSE),"")</f>
        <v/>
      </c>
      <c r="L237" s="17">
        <v>3000</v>
      </c>
      <c r="M237" s="6" t="s">
        <v>748</v>
      </c>
      <c r="N237" s="18" t="str">
        <f>IFERROR(VLOOKUP(B237,#REF!,13,FALSE),"")</f>
        <v/>
      </c>
      <c r="O237" s="19" t="str">
        <f>IFERROR(VLOOKUP(B237,#REF!,14,FALSE),"")</f>
        <v/>
      </c>
      <c r="P237" s="19" t="str">
        <f>IFERROR(VLOOKUP(B237,#REF!,15,FALSE),"")</f>
        <v/>
      </c>
      <c r="Q237" s="19"/>
      <c r="R237" s="25" t="str">
        <f>IFERROR(VLOOKUP(B237,#REF!,16,FALSE),"")</f>
        <v/>
      </c>
      <c r="S237" s="17">
        <v>0</v>
      </c>
      <c r="T237" s="17">
        <v>3000</v>
      </c>
      <c r="U237" s="17">
        <v>0</v>
      </c>
      <c r="V237" s="17">
        <v>0</v>
      </c>
      <c r="W237" s="20">
        <v>3000</v>
      </c>
      <c r="X237" s="16" t="s">
        <v>40</v>
      </c>
      <c r="Y237" s="21" t="s">
        <v>40</v>
      </c>
      <c r="Z237" s="20">
        <v>0</v>
      </c>
      <c r="AA237" s="17" t="s">
        <v>40</v>
      </c>
      <c r="AB237" s="22" t="s">
        <v>41</v>
      </c>
      <c r="AC237" s="23" t="str">
        <f t="shared" si="23"/>
        <v>E</v>
      </c>
      <c r="AD237" s="17">
        <v>0</v>
      </c>
      <c r="AE237" s="17">
        <v>0</v>
      </c>
      <c r="AF237" s="17">
        <v>0</v>
      </c>
      <c r="AG237" s="17">
        <v>0</v>
      </c>
      <c r="AH237" s="15" t="s">
        <v>42</v>
      </c>
    </row>
    <row r="238" spans="1:34">
      <c r="A238" s="13" t="str">
        <f t="shared" si="18"/>
        <v>ZeroZero</v>
      </c>
      <c r="B238" s="14" t="s">
        <v>434</v>
      </c>
      <c r="C238" s="15" t="s">
        <v>280</v>
      </c>
      <c r="D238" s="19" t="str">
        <f t="shared" si="19"/>
        <v>前八週無拉料</v>
      </c>
      <c r="E238" s="16" t="str">
        <f t="shared" si="20"/>
        <v>--</v>
      </c>
      <c r="F238" s="16" t="str">
        <f t="shared" si="21"/>
        <v>--</v>
      </c>
      <c r="G238" s="16" t="str">
        <f t="shared" si="22"/>
        <v>--</v>
      </c>
      <c r="H238" s="24" t="str">
        <f>IFERROR(VLOOKUP(B238,#REF!,8,FALSE),"")</f>
        <v/>
      </c>
      <c r="I238" s="17">
        <v>0</v>
      </c>
      <c r="J238" s="17">
        <v>0</v>
      </c>
      <c r="K238" s="24" t="str">
        <f>IFERROR(VLOOKUP(B238,#REF!,11,FALSE),"")</f>
        <v/>
      </c>
      <c r="L238" s="17">
        <v>3000</v>
      </c>
      <c r="M238" s="6" t="s">
        <v>748</v>
      </c>
      <c r="N238" s="18" t="str">
        <f>IFERROR(VLOOKUP(B238,#REF!,13,FALSE),"")</f>
        <v/>
      </c>
      <c r="O238" s="19" t="str">
        <f>IFERROR(VLOOKUP(B238,#REF!,14,FALSE),"")</f>
        <v/>
      </c>
      <c r="P238" s="19" t="str">
        <f>IFERROR(VLOOKUP(B238,#REF!,15,FALSE),"")</f>
        <v/>
      </c>
      <c r="Q238" s="19"/>
      <c r="R238" s="25" t="str">
        <f>IFERROR(VLOOKUP(B238,#REF!,16,FALSE),"")</f>
        <v/>
      </c>
      <c r="S238" s="17">
        <v>0</v>
      </c>
      <c r="T238" s="17">
        <v>3000</v>
      </c>
      <c r="U238" s="17">
        <v>0</v>
      </c>
      <c r="V238" s="17">
        <v>0</v>
      </c>
      <c r="W238" s="20">
        <v>3000</v>
      </c>
      <c r="X238" s="16" t="s">
        <v>40</v>
      </c>
      <c r="Y238" s="21" t="s">
        <v>40</v>
      </c>
      <c r="Z238" s="20">
        <v>0</v>
      </c>
      <c r="AA238" s="17" t="s">
        <v>40</v>
      </c>
      <c r="AB238" s="22" t="s">
        <v>41</v>
      </c>
      <c r="AC238" s="23" t="str">
        <f t="shared" si="23"/>
        <v>E</v>
      </c>
      <c r="AD238" s="17">
        <v>0</v>
      </c>
      <c r="AE238" s="17">
        <v>0</v>
      </c>
      <c r="AF238" s="17">
        <v>0</v>
      </c>
      <c r="AG238" s="17">
        <v>0</v>
      </c>
      <c r="AH238" s="15" t="s">
        <v>42</v>
      </c>
    </row>
    <row r="239" spans="1:34">
      <c r="A239" s="13" t="str">
        <f t="shared" si="18"/>
        <v>ZeroZero</v>
      </c>
      <c r="B239" s="14" t="s">
        <v>711</v>
      </c>
      <c r="C239" s="15" t="s">
        <v>709</v>
      </c>
      <c r="D239" s="19" t="str">
        <f t="shared" si="19"/>
        <v>前八週無拉料</v>
      </c>
      <c r="E239" s="16" t="str">
        <f t="shared" si="20"/>
        <v>--</v>
      </c>
      <c r="F239" s="16" t="str">
        <f t="shared" si="21"/>
        <v>--</v>
      </c>
      <c r="G239" s="16" t="str">
        <f t="shared" si="22"/>
        <v>--</v>
      </c>
      <c r="H239" s="24" t="str">
        <f>IFERROR(VLOOKUP(B239,#REF!,8,FALSE),"")</f>
        <v/>
      </c>
      <c r="I239" s="17">
        <v>0</v>
      </c>
      <c r="J239" s="17">
        <v>0</v>
      </c>
      <c r="K239" s="24" t="str">
        <f>IFERROR(VLOOKUP(B239,#REF!,11,FALSE),"")</f>
        <v/>
      </c>
      <c r="L239" s="17">
        <v>2500</v>
      </c>
      <c r="M239" s="6" t="s">
        <v>748</v>
      </c>
      <c r="N239" s="18" t="str">
        <f>IFERROR(VLOOKUP(B239,#REF!,13,FALSE),"")</f>
        <v/>
      </c>
      <c r="O239" s="19" t="str">
        <f>IFERROR(VLOOKUP(B239,#REF!,14,FALSE),"")</f>
        <v/>
      </c>
      <c r="P239" s="19" t="str">
        <f>IFERROR(VLOOKUP(B239,#REF!,15,FALSE),"")</f>
        <v/>
      </c>
      <c r="Q239" s="19"/>
      <c r="R239" s="25" t="str">
        <f>IFERROR(VLOOKUP(B239,#REF!,16,FALSE),"")</f>
        <v/>
      </c>
      <c r="S239" s="17">
        <v>0</v>
      </c>
      <c r="T239" s="17">
        <v>2500</v>
      </c>
      <c r="U239" s="17">
        <v>0</v>
      </c>
      <c r="V239" s="17">
        <v>0</v>
      </c>
      <c r="W239" s="20">
        <v>2500</v>
      </c>
      <c r="X239" s="16" t="s">
        <v>40</v>
      </c>
      <c r="Y239" s="21" t="s">
        <v>40</v>
      </c>
      <c r="Z239" s="20">
        <v>0</v>
      </c>
      <c r="AA239" s="17" t="s">
        <v>40</v>
      </c>
      <c r="AB239" s="22" t="s">
        <v>41</v>
      </c>
      <c r="AC239" s="23" t="str">
        <f t="shared" si="23"/>
        <v>E</v>
      </c>
      <c r="AD239" s="17">
        <v>0</v>
      </c>
      <c r="AE239" s="17">
        <v>0</v>
      </c>
      <c r="AF239" s="17">
        <v>0</v>
      </c>
      <c r="AG239" s="17">
        <v>0</v>
      </c>
      <c r="AH239" s="15" t="s">
        <v>42</v>
      </c>
    </row>
    <row r="240" spans="1:34">
      <c r="A240" s="13" t="str">
        <f t="shared" si="18"/>
        <v>ZeroZero</v>
      </c>
      <c r="B240" s="14" t="s">
        <v>105</v>
      </c>
      <c r="C240" s="15" t="s">
        <v>46</v>
      </c>
      <c r="D240" s="19" t="str">
        <f t="shared" si="19"/>
        <v>前八週無拉料</v>
      </c>
      <c r="E240" s="16" t="str">
        <f t="shared" si="20"/>
        <v>--</v>
      </c>
      <c r="F240" s="16" t="str">
        <f t="shared" si="21"/>
        <v>--</v>
      </c>
      <c r="G240" s="16" t="str">
        <f t="shared" si="22"/>
        <v>--</v>
      </c>
      <c r="H240" s="24" t="str">
        <f>IFERROR(VLOOKUP(B240,#REF!,8,FALSE),"")</f>
        <v/>
      </c>
      <c r="I240" s="17">
        <v>30000</v>
      </c>
      <c r="J240" s="17">
        <v>30000</v>
      </c>
      <c r="K240" s="24" t="str">
        <f>IFERROR(VLOOKUP(B240,#REF!,11,FALSE),"")</f>
        <v/>
      </c>
      <c r="L240" s="17">
        <v>2400</v>
      </c>
      <c r="M240" s="6" t="s">
        <v>745</v>
      </c>
      <c r="N240" s="18" t="str">
        <f>IFERROR(VLOOKUP(B240,#REF!,13,FALSE),"")</f>
        <v/>
      </c>
      <c r="O240" s="19" t="str">
        <f>IFERROR(VLOOKUP(B240,#REF!,14,FALSE),"")</f>
        <v/>
      </c>
      <c r="P240" s="19" t="str">
        <f>IFERROR(VLOOKUP(B240,#REF!,15,FALSE),"")</f>
        <v/>
      </c>
      <c r="Q240" s="19"/>
      <c r="R240" s="25" t="str">
        <f>IFERROR(VLOOKUP(B240,#REF!,16,FALSE),"")</f>
        <v/>
      </c>
      <c r="S240" s="17">
        <v>0</v>
      </c>
      <c r="T240" s="17">
        <v>2400</v>
      </c>
      <c r="U240" s="17">
        <v>0</v>
      </c>
      <c r="V240" s="17">
        <v>0</v>
      </c>
      <c r="W240" s="20">
        <v>32400</v>
      </c>
      <c r="X240" s="16" t="s">
        <v>40</v>
      </c>
      <c r="Y240" s="21" t="s">
        <v>40</v>
      </c>
      <c r="Z240" s="20">
        <v>0</v>
      </c>
      <c r="AA240" s="17">
        <v>0</v>
      </c>
      <c r="AB240" s="22" t="s">
        <v>41</v>
      </c>
      <c r="AC240" s="23" t="str">
        <f t="shared" si="23"/>
        <v>E</v>
      </c>
      <c r="AD240" s="17">
        <v>15100</v>
      </c>
      <c r="AE240" s="17">
        <v>0</v>
      </c>
      <c r="AF240" s="17">
        <v>0</v>
      </c>
      <c r="AG240" s="17">
        <v>0</v>
      </c>
      <c r="AH240" s="15" t="s">
        <v>42</v>
      </c>
    </row>
    <row r="241" spans="1:34">
      <c r="A241" s="13" t="str">
        <f t="shared" si="18"/>
        <v>ZeroZero</v>
      </c>
      <c r="B241" s="14" t="s">
        <v>401</v>
      </c>
      <c r="C241" s="15" t="s">
        <v>280</v>
      </c>
      <c r="D241" s="19" t="str">
        <f t="shared" si="19"/>
        <v>前八週無拉料</v>
      </c>
      <c r="E241" s="16" t="str">
        <f t="shared" si="20"/>
        <v>--</v>
      </c>
      <c r="F241" s="16" t="str">
        <f t="shared" si="21"/>
        <v>--</v>
      </c>
      <c r="G241" s="16" t="str">
        <f t="shared" si="22"/>
        <v>--</v>
      </c>
      <c r="H241" s="24" t="str">
        <f>IFERROR(VLOOKUP(B241,#REF!,8,FALSE),"")</f>
        <v/>
      </c>
      <c r="I241" s="17">
        <v>0</v>
      </c>
      <c r="J241" s="17">
        <v>0</v>
      </c>
      <c r="K241" s="24" t="str">
        <f>IFERROR(VLOOKUP(B241,#REF!,11,FALSE),"")</f>
        <v/>
      </c>
      <c r="L241" s="17">
        <v>1800</v>
      </c>
      <c r="M241" s="6" t="s">
        <v>748</v>
      </c>
      <c r="N241" s="18" t="str">
        <f>IFERROR(VLOOKUP(B241,#REF!,13,FALSE),"")</f>
        <v/>
      </c>
      <c r="O241" s="19" t="str">
        <f>IFERROR(VLOOKUP(B241,#REF!,14,FALSE),"")</f>
        <v/>
      </c>
      <c r="P241" s="19" t="str">
        <f>IFERROR(VLOOKUP(B241,#REF!,15,FALSE),"")</f>
        <v/>
      </c>
      <c r="Q241" s="19"/>
      <c r="R241" s="25" t="str">
        <f>IFERROR(VLOOKUP(B241,#REF!,16,FALSE),"")</f>
        <v/>
      </c>
      <c r="S241" s="17">
        <v>0</v>
      </c>
      <c r="T241" s="17">
        <v>1800</v>
      </c>
      <c r="U241" s="17">
        <v>0</v>
      </c>
      <c r="V241" s="17">
        <v>0</v>
      </c>
      <c r="W241" s="20">
        <v>1800</v>
      </c>
      <c r="X241" s="16" t="s">
        <v>40</v>
      </c>
      <c r="Y241" s="21" t="s">
        <v>40</v>
      </c>
      <c r="Z241" s="20">
        <v>0</v>
      </c>
      <c r="AA241" s="17" t="s">
        <v>40</v>
      </c>
      <c r="AB241" s="22" t="s">
        <v>41</v>
      </c>
      <c r="AC241" s="23" t="str">
        <f t="shared" si="23"/>
        <v>E</v>
      </c>
      <c r="AD241" s="17">
        <v>0</v>
      </c>
      <c r="AE241" s="17">
        <v>0</v>
      </c>
      <c r="AF241" s="17">
        <v>0</v>
      </c>
      <c r="AG241" s="17">
        <v>0</v>
      </c>
      <c r="AH241" s="15" t="s">
        <v>42</v>
      </c>
    </row>
    <row r="242" spans="1:34">
      <c r="A242" s="13" t="str">
        <f t="shared" si="18"/>
        <v>ZeroZero</v>
      </c>
      <c r="B242" s="14" t="s">
        <v>309</v>
      </c>
      <c r="C242" s="15" t="s">
        <v>280</v>
      </c>
      <c r="D242" s="19" t="str">
        <f t="shared" si="19"/>
        <v>前八週無拉料</v>
      </c>
      <c r="E242" s="16" t="str">
        <f t="shared" si="20"/>
        <v>--</v>
      </c>
      <c r="F242" s="16" t="str">
        <f t="shared" si="21"/>
        <v>--</v>
      </c>
      <c r="G242" s="16" t="str">
        <f t="shared" si="22"/>
        <v>--</v>
      </c>
      <c r="H242" s="24" t="str">
        <f>IFERROR(VLOOKUP(B242,#REF!,8,FALSE),"")</f>
        <v/>
      </c>
      <c r="I242" s="17">
        <v>0</v>
      </c>
      <c r="J242" s="17">
        <v>0</v>
      </c>
      <c r="K242" s="24" t="str">
        <f>IFERROR(VLOOKUP(B242,#REF!,11,FALSE),"")</f>
        <v/>
      </c>
      <c r="L242" s="17">
        <v>6000</v>
      </c>
      <c r="M242" s="6" t="s">
        <v>752</v>
      </c>
      <c r="N242" s="18" t="str">
        <f>IFERROR(VLOOKUP(B242,#REF!,13,FALSE),"")</f>
        <v/>
      </c>
      <c r="O242" s="19" t="str">
        <f>IFERROR(VLOOKUP(B242,#REF!,14,FALSE),"")</f>
        <v/>
      </c>
      <c r="P242" s="19" t="str">
        <f>IFERROR(VLOOKUP(B242,#REF!,15,FALSE),"")</f>
        <v/>
      </c>
      <c r="Q242" s="19"/>
      <c r="R242" s="25" t="str">
        <f>IFERROR(VLOOKUP(B242,#REF!,16,FALSE),"")</f>
        <v/>
      </c>
      <c r="S242" s="17">
        <v>0</v>
      </c>
      <c r="T242" s="17">
        <v>6000</v>
      </c>
      <c r="U242" s="17">
        <v>0</v>
      </c>
      <c r="V242" s="17">
        <v>0</v>
      </c>
      <c r="W242" s="20">
        <v>6000</v>
      </c>
      <c r="X242" s="16" t="s">
        <v>40</v>
      </c>
      <c r="Y242" s="21" t="s">
        <v>40</v>
      </c>
      <c r="Z242" s="20">
        <v>0</v>
      </c>
      <c r="AA242" s="17" t="s">
        <v>40</v>
      </c>
      <c r="AB242" s="22" t="s">
        <v>41</v>
      </c>
      <c r="AC242" s="23" t="str">
        <f t="shared" si="23"/>
        <v>E</v>
      </c>
      <c r="AD242" s="17">
        <v>0</v>
      </c>
      <c r="AE242" s="17">
        <v>0</v>
      </c>
      <c r="AF242" s="17">
        <v>0</v>
      </c>
      <c r="AG242" s="17">
        <v>0</v>
      </c>
      <c r="AH242" s="15" t="s">
        <v>42</v>
      </c>
    </row>
    <row r="243" spans="1:34">
      <c r="A243" s="13" t="str">
        <f t="shared" si="18"/>
        <v>ZeroZero</v>
      </c>
      <c r="B243" s="14" t="s">
        <v>598</v>
      </c>
      <c r="C243" s="15" t="s">
        <v>277</v>
      </c>
      <c r="D243" s="19" t="str">
        <f t="shared" si="19"/>
        <v>前八週無拉料</v>
      </c>
      <c r="E243" s="16" t="str">
        <f t="shared" si="20"/>
        <v>--</v>
      </c>
      <c r="F243" s="16" t="str">
        <f t="shared" si="21"/>
        <v>--</v>
      </c>
      <c r="G243" s="16" t="str">
        <f t="shared" si="22"/>
        <v>--</v>
      </c>
      <c r="H243" s="24" t="str">
        <f>IFERROR(VLOOKUP(B243,#REF!,8,FALSE),"")</f>
        <v/>
      </c>
      <c r="I243" s="17">
        <v>0</v>
      </c>
      <c r="J243" s="17">
        <v>0</v>
      </c>
      <c r="K243" s="24" t="str">
        <f>IFERROR(VLOOKUP(B243,#REF!,11,FALSE),"")</f>
        <v/>
      </c>
      <c r="L243" s="17">
        <v>3000</v>
      </c>
      <c r="M243" s="6" t="s">
        <v>748</v>
      </c>
      <c r="N243" s="18" t="str">
        <f>IFERROR(VLOOKUP(B243,#REF!,13,FALSE),"")</f>
        <v/>
      </c>
      <c r="O243" s="19" t="str">
        <f>IFERROR(VLOOKUP(B243,#REF!,14,FALSE),"")</f>
        <v/>
      </c>
      <c r="P243" s="19" t="str">
        <f>IFERROR(VLOOKUP(B243,#REF!,15,FALSE),"")</f>
        <v/>
      </c>
      <c r="Q243" s="19"/>
      <c r="R243" s="25" t="str">
        <f>IFERROR(VLOOKUP(B243,#REF!,16,FALSE),"")</f>
        <v/>
      </c>
      <c r="S243" s="17">
        <v>0</v>
      </c>
      <c r="T243" s="17">
        <v>3000</v>
      </c>
      <c r="U243" s="17">
        <v>0</v>
      </c>
      <c r="V243" s="17">
        <v>0</v>
      </c>
      <c r="W243" s="20">
        <v>3000</v>
      </c>
      <c r="X243" s="16" t="s">
        <v>40</v>
      </c>
      <c r="Y243" s="21" t="s">
        <v>40</v>
      </c>
      <c r="Z243" s="20">
        <v>0</v>
      </c>
      <c r="AA243" s="17" t="s">
        <v>40</v>
      </c>
      <c r="AB243" s="22" t="s">
        <v>41</v>
      </c>
      <c r="AC243" s="23" t="str">
        <f t="shared" si="23"/>
        <v>E</v>
      </c>
      <c r="AD243" s="17">
        <v>0</v>
      </c>
      <c r="AE243" s="17">
        <v>0</v>
      </c>
      <c r="AF243" s="17">
        <v>0</v>
      </c>
      <c r="AG243" s="17">
        <v>0</v>
      </c>
      <c r="AH243" s="15" t="s">
        <v>42</v>
      </c>
    </row>
    <row r="244" spans="1:34">
      <c r="A244" s="13" t="str">
        <f t="shared" si="18"/>
        <v>ZeroZero</v>
      </c>
      <c r="B244" s="14" t="s">
        <v>351</v>
      </c>
      <c r="C244" s="15" t="s">
        <v>280</v>
      </c>
      <c r="D244" s="19" t="str">
        <f t="shared" si="19"/>
        <v>前八週無拉料</v>
      </c>
      <c r="E244" s="16" t="str">
        <f t="shared" si="20"/>
        <v>--</v>
      </c>
      <c r="F244" s="16" t="str">
        <f t="shared" si="21"/>
        <v>--</v>
      </c>
      <c r="G244" s="16" t="str">
        <f t="shared" si="22"/>
        <v>--</v>
      </c>
      <c r="H244" s="24" t="str">
        <f>IFERROR(VLOOKUP(B244,#REF!,8,FALSE),"")</f>
        <v/>
      </c>
      <c r="I244" s="17">
        <v>6000</v>
      </c>
      <c r="J244" s="17">
        <v>0</v>
      </c>
      <c r="K244" s="24" t="str">
        <f>IFERROR(VLOOKUP(B244,#REF!,11,FALSE),"")</f>
        <v/>
      </c>
      <c r="L244" s="17">
        <v>3000</v>
      </c>
      <c r="M244" s="6" t="s">
        <v>748</v>
      </c>
      <c r="N244" s="18" t="str">
        <f>IFERROR(VLOOKUP(B244,#REF!,13,FALSE),"")</f>
        <v/>
      </c>
      <c r="O244" s="19" t="str">
        <f>IFERROR(VLOOKUP(B244,#REF!,14,FALSE),"")</f>
        <v/>
      </c>
      <c r="P244" s="19" t="str">
        <f>IFERROR(VLOOKUP(B244,#REF!,15,FALSE),"")</f>
        <v/>
      </c>
      <c r="Q244" s="19"/>
      <c r="R244" s="25" t="str">
        <f>IFERROR(VLOOKUP(B244,#REF!,16,FALSE),"")</f>
        <v/>
      </c>
      <c r="S244" s="17">
        <v>3000</v>
      </c>
      <c r="T244" s="17">
        <v>0</v>
      </c>
      <c r="U244" s="17">
        <v>0</v>
      </c>
      <c r="V244" s="17">
        <v>0</v>
      </c>
      <c r="W244" s="20">
        <v>9000</v>
      </c>
      <c r="X244" s="16" t="s">
        <v>40</v>
      </c>
      <c r="Y244" s="21" t="s">
        <v>40</v>
      </c>
      <c r="Z244" s="20">
        <v>0</v>
      </c>
      <c r="AA244" s="17" t="s">
        <v>40</v>
      </c>
      <c r="AB244" s="22" t="s">
        <v>41</v>
      </c>
      <c r="AC244" s="23" t="str">
        <f t="shared" si="23"/>
        <v>E</v>
      </c>
      <c r="AD244" s="17">
        <v>0</v>
      </c>
      <c r="AE244" s="17">
        <v>0</v>
      </c>
      <c r="AF244" s="17">
        <v>0</v>
      </c>
      <c r="AG244" s="17">
        <v>0</v>
      </c>
      <c r="AH244" s="15" t="s">
        <v>42</v>
      </c>
    </row>
    <row r="245" spans="1:34">
      <c r="A245" s="13" t="str">
        <f t="shared" si="18"/>
        <v>ZeroZero</v>
      </c>
      <c r="B245" s="14" t="s">
        <v>348</v>
      </c>
      <c r="C245" s="15" t="s">
        <v>280</v>
      </c>
      <c r="D245" s="19" t="str">
        <f t="shared" si="19"/>
        <v>前八週無拉料</v>
      </c>
      <c r="E245" s="16" t="str">
        <f t="shared" si="20"/>
        <v>--</v>
      </c>
      <c r="F245" s="16" t="str">
        <f t="shared" si="21"/>
        <v>--</v>
      </c>
      <c r="G245" s="16" t="str">
        <f t="shared" si="22"/>
        <v>--</v>
      </c>
      <c r="H245" s="24" t="str">
        <f>IFERROR(VLOOKUP(B245,#REF!,8,FALSE),"")</f>
        <v/>
      </c>
      <c r="I245" s="17">
        <v>0</v>
      </c>
      <c r="J245" s="17">
        <v>0</v>
      </c>
      <c r="K245" s="24" t="str">
        <f>IFERROR(VLOOKUP(B245,#REF!,11,FALSE),"")</f>
        <v/>
      </c>
      <c r="L245" s="17">
        <v>3000</v>
      </c>
      <c r="M245" s="6" t="s">
        <v>751</v>
      </c>
      <c r="N245" s="18" t="str">
        <f>IFERROR(VLOOKUP(B245,#REF!,13,FALSE),"")</f>
        <v/>
      </c>
      <c r="O245" s="19" t="str">
        <f>IFERROR(VLOOKUP(B245,#REF!,14,FALSE),"")</f>
        <v/>
      </c>
      <c r="P245" s="19" t="str">
        <f>IFERROR(VLOOKUP(B245,#REF!,15,FALSE),"")</f>
        <v/>
      </c>
      <c r="Q245" s="19"/>
      <c r="R245" s="25" t="str">
        <f>IFERROR(VLOOKUP(B245,#REF!,16,FALSE),"")</f>
        <v/>
      </c>
      <c r="S245" s="17">
        <v>0</v>
      </c>
      <c r="T245" s="17">
        <v>0</v>
      </c>
      <c r="U245" s="17">
        <v>3000</v>
      </c>
      <c r="V245" s="17">
        <v>0</v>
      </c>
      <c r="W245" s="20">
        <v>3000</v>
      </c>
      <c r="X245" s="16" t="s">
        <v>40</v>
      </c>
      <c r="Y245" s="21" t="s">
        <v>40</v>
      </c>
      <c r="Z245" s="20">
        <v>0</v>
      </c>
      <c r="AA245" s="17" t="s">
        <v>40</v>
      </c>
      <c r="AB245" s="22" t="s">
        <v>41</v>
      </c>
      <c r="AC245" s="23" t="str">
        <f t="shared" si="23"/>
        <v>E</v>
      </c>
      <c r="AD245" s="17">
        <v>0</v>
      </c>
      <c r="AE245" s="17">
        <v>0</v>
      </c>
      <c r="AF245" s="17">
        <v>0</v>
      </c>
      <c r="AG245" s="17">
        <v>0</v>
      </c>
      <c r="AH245" s="15" t="s">
        <v>42</v>
      </c>
    </row>
    <row r="246" spans="1:34">
      <c r="A246" s="13" t="str">
        <f t="shared" si="18"/>
        <v>ZeroZero</v>
      </c>
      <c r="B246" s="14" t="s">
        <v>349</v>
      </c>
      <c r="C246" s="15" t="s">
        <v>280</v>
      </c>
      <c r="D246" s="19" t="str">
        <f t="shared" si="19"/>
        <v>前八週無拉料</v>
      </c>
      <c r="E246" s="16" t="str">
        <f t="shared" si="20"/>
        <v>--</v>
      </c>
      <c r="F246" s="16" t="str">
        <f t="shared" si="21"/>
        <v>--</v>
      </c>
      <c r="G246" s="16" t="str">
        <f t="shared" si="22"/>
        <v>--</v>
      </c>
      <c r="H246" s="24" t="str">
        <f>IFERROR(VLOOKUP(B246,#REF!,8,FALSE),"")</f>
        <v/>
      </c>
      <c r="I246" s="17">
        <v>0</v>
      </c>
      <c r="J246" s="17">
        <v>0</v>
      </c>
      <c r="K246" s="24" t="str">
        <f>IFERROR(VLOOKUP(B246,#REF!,11,FALSE),"")</f>
        <v/>
      </c>
      <c r="L246" s="17">
        <v>3000</v>
      </c>
      <c r="M246" s="6" t="s">
        <v>758</v>
      </c>
      <c r="N246" s="18" t="str">
        <f>IFERROR(VLOOKUP(B246,#REF!,13,FALSE),"")</f>
        <v/>
      </c>
      <c r="O246" s="19" t="str">
        <f>IFERROR(VLOOKUP(B246,#REF!,14,FALSE),"")</f>
        <v/>
      </c>
      <c r="P246" s="19" t="str">
        <f>IFERROR(VLOOKUP(B246,#REF!,15,FALSE),"")</f>
        <v/>
      </c>
      <c r="Q246" s="19"/>
      <c r="R246" s="25" t="str">
        <f>IFERROR(VLOOKUP(B246,#REF!,16,FALSE),"")</f>
        <v/>
      </c>
      <c r="S246" s="17">
        <v>0</v>
      </c>
      <c r="T246" s="17">
        <v>3000</v>
      </c>
      <c r="U246" s="17">
        <v>0</v>
      </c>
      <c r="V246" s="17">
        <v>0</v>
      </c>
      <c r="W246" s="20">
        <v>3000</v>
      </c>
      <c r="X246" s="16" t="s">
        <v>40</v>
      </c>
      <c r="Y246" s="21" t="s">
        <v>40</v>
      </c>
      <c r="Z246" s="20">
        <v>0</v>
      </c>
      <c r="AA246" s="17" t="s">
        <v>40</v>
      </c>
      <c r="AB246" s="22" t="s">
        <v>41</v>
      </c>
      <c r="AC246" s="23" t="str">
        <f t="shared" si="23"/>
        <v>E</v>
      </c>
      <c r="AD246" s="17">
        <v>0</v>
      </c>
      <c r="AE246" s="17">
        <v>0</v>
      </c>
      <c r="AF246" s="17">
        <v>0</v>
      </c>
      <c r="AG246" s="17">
        <v>0</v>
      </c>
      <c r="AH246" s="15" t="s">
        <v>42</v>
      </c>
    </row>
    <row r="247" spans="1:34">
      <c r="A247" s="13" t="str">
        <f t="shared" si="18"/>
        <v>ZeroZero</v>
      </c>
      <c r="B247" s="14" t="s">
        <v>66</v>
      </c>
      <c r="C247" s="15" t="s">
        <v>54</v>
      </c>
      <c r="D247" s="19" t="str">
        <f t="shared" si="19"/>
        <v>前八週無拉料</v>
      </c>
      <c r="E247" s="16" t="str">
        <f t="shared" si="20"/>
        <v>--</v>
      </c>
      <c r="F247" s="16" t="str">
        <f t="shared" si="21"/>
        <v>--</v>
      </c>
      <c r="G247" s="16" t="str">
        <f t="shared" si="22"/>
        <v>--</v>
      </c>
      <c r="H247" s="24" t="str">
        <f>IFERROR(VLOOKUP(B247,#REF!,8,FALSE),"")</f>
        <v/>
      </c>
      <c r="I247" s="17">
        <v>0</v>
      </c>
      <c r="J247" s="17">
        <v>0</v>
      </c>
      <c r="K247" s="24" t="str">
        <f>IFERROR(VLOOKUP(B247,#REF!,11,FALSE),"")</f>
        <v/>
      </c>
      <c r="L247" s="17">
        <v>18</v>
      </c>
      <c r="M247" s="6" t="s">
        <v>746</v>
      </c>
      <c r="N247" s="18" t="str">
        <f>IFERROR(VLOOKUP(B247,#REF!,13,FALSE),"")</f>
        <v/>
      </c>
      <c r="O247" s="19" t="str">
        <f>IFERROR(VLOOKUP(B247,#REF!,14,FALSE),"")</f>
        <v/>
      </c>
      <c r="P247" s="19" t="str">
        <f>IFERROR(VLOOKUP(B247,#REF!,15,FALSE),"")</f>
        <v/>
      </c>
      <c r="Q247" s="19"/>
      <c r="R247" s="25" t="str">
        <f>IFERROR(VLOOKUP(B247,#REF!,16,FALSE),"")</f>
        <v/>
      </c>
      <c r="S247" s="17">
        <v>0</v>
      </c>
      <c r="T247" s="17">
        <v>18</v>
      </c>
      <c r="U247" s="17">
        <v>0</v>
      </c>
      <c r="V247" s="17">
        <v>0</v>
      </c>
      <c r="W247" s="20">
        <v>18</v>
      </c>
      <c r="X247" s="16" t="s">
        <v>40</v>
      </c>
      <c r="Y247" s="21" t="s">
        <v>40</v>
      </c>
      <c r="Z247" s="20">
        <v>0</v>
      </c>
      <c r="AA247" s="17" t="s">
        <v>40</v>
      </c>
      <c r="AB247" s="22" t="s">
        <v>41</v>
      </c>
      <c r="AC247" s="23" t="str">
        <f t="shared" si="23"/>
        <v>E</v>
      </c>
      <c r="AD247" s="17">
        <v>0</v>
      </c>
      <c r="AE247" s="17">
        <v>0</v>
      </c>
      <c r="AF247" s="17">
        <v>0</v>
      </c>
      <c r="AG247" s="17">
        <v>0</v>
      </c>
      <c r="AH247" s="15" t="s">
        <v>42</v>
      </c>
    </row>
    <row r="248" spans="1:34">
      <c r="A248" s="13" t="str">
        <f t="shared" si="18"/>
        <v>ZeroZero</v>
      </c>
      <c r="B248" s="14" t="s">
        <v>63</v>
      </c>
      <c r="C248" s="15" t="s">
        <v>54</v>
      </c>
      <c r="D248" s="19" t="str">
        <f t="shared" si="19"/>
        <v>前八週無拉料</v>
      </c>
      <c r="E248" s="16" t="str">
        <f t="shared" si="20"/>
        <v>--</v>
      </c>
      <c r="F248" s="16" t="str">
        <f t="shared" si="21"/>
        <v>--</v>
      </c>
      <c r="G248" s="16" t="str">
        <f t="shared" si="22"/>
        <v>--</v>
      </c>
      <c r="H248" s="24" t="str">
        <f>IFERROR(VLOOKUP(B248,#REF!,8,FALSE),"")</f>
        <v/>
      </c>
      <c r="I248" s="17">
        <v>0</v>
      </c>
      <c r="J248" s="17">
        <v>0</v>
      </c>
      <c r="K248" s="24" t="str">
        <f>IFERROR(VLOOKUP(B248,#REF!,11,FALSE),"")</f>
        <v/>
      </c>
      <c r="L248" s="17">
        <v>5</v>
      </c>
      <c r="M248" s="6" t="s">
        <v>746</v>
      </c>
      <c r="N248" s="18" t="str">
        <f>IFERROR(VLOOKUP(B248,#REF!,13,FALSE),"")</f>
        <v/>
      </c>
      <c r="O248" s="19" t="str">
        <f>IFERROR(VLOOKUP(B248,#REF!,14,FALSE),"")</f>
        <v/>
      </c>
      <c r="P248" s="19" t="str">
        <f>IFERROR(VLOOKUP(B248,#REF!,15,FALSE),"")</f>
        <v/>
      </c>
      <c r="Q248" s="19"/>
      <c r="R248" s="25" t="str">
        <f>IFERROR(VLOOKUP(B248,#REF!,16,FALSE),"")</f>
        <v/>
      </c>
      <c r="S248" s="17">
        <v>0</v>
      </c>
      <c r="T248" s="17">
        <v>5</v>
      </c>
      <c r="U248" s="17">
        <v>0</v>
      </c>
      <c r="V248" s="17">
        <v>0</v>
      </c>
      <c r="W248" s="20">
        <v>5</v>
      </c>
      <c r="X248" s="16" t="s">
        <v>40</v>
      </c>
      <c r="Y248" s="21" t="s">
        <v>40</v>
      </c>
      <c r="Z248" s="20">
        <v>0</v>
      </c>
      <c r="AA248" s="17" t="s">
        <v>40</v>
      </c>
      <c r="AB248" s="22" t="s">
        <v>41</v>
      </c>
      <c r="AC248" s="23" t="str">
        <f t="shared" si="23"/>
        <v>E</v>
      </c>
      <c r="AD248" s="17">
        <v>0</v>
      </c>
      <c r="AE248" s="17">
        <v>0</v>
      </c>
      <c r="AF248" s="17">
        <v>0</v>
      </c>
      <c r="AG248" s="17">
        <v>0</v>
      </c>
      <c r="AH248" s="15" t="s">
        <v>42</v>
      </c>
    </row>
    <row r="249" spans="1:34">
      <c r="A249" s="13" t="str">
        <f t="shared" si="18"/>
        <v>ZeroZero</v>
      </c>
      <c r="B249" s="14" t="s">
        <v>43</v>
      </c>
      <c r="C249" s="15" t="s">
        <v>39</v>
      </c>
      <c r="D249" s="19" t="str">
        <f t="shared" si="19"/>
        <v>前八週無拉料</v>
      </c>
      <c r="E249" s="16" t="str">
        <f t="shared" si="20"/>
        <v>--</v>
      </c>
      <c r="F249" s="16" t="str">
        <f t="shared" si="21"/>
        <v>--</v>
      </c>
      <c r="G249" s="16" t="str">
        <f t="shared" si="22"/>
        <v>--</v>
      </c>
      <c r="H249" s="24" t="str">
        <f>IFERROR(VLOOKUP(B249,#REF!,8,FALSE),"")</f>
        <v/>
      </c>
      <c r="I249" s="17">
        <v>7500</v>
      </c>
      <c r="J249" s="17">
        <v>7500</v>
      </c>
      <c r="K249" s="24" t="str">
        <f>IFERROR(VLOOKUP(B249,#REF!,11,FALSE),"")</f>
        <v/>
      </c>
      <c r="L249" s="17">
        <v>0</v>
      </c>
      <c r="M249" s="6" t="s">
        <v>743</v>
      </c>
      <c r="N249" s="18" t="str">
        <f>IFERROR(VLOOKUP(B249,#REF!,13,FALSE),"")</f>
        <v/>
      </c>
      <c r="O249" s="19" t="str">
        <f>IFERROR(VLOOKUP(B249,#REF!,14,FALSE),"")</f>
        <v/>
      </c>
      <c r="P249" s="19" t="str">
        <f>IFERROR(VLOOKUP(B249,#REF!,15,FALSE),"")</f>
        <v/>
      </c>
      <c r="Q249" s="19"/>
      <c r="R249" s="25" t="str">
        <f>IFERROR(VLOOKUP(B249,#REF!,16,FALSE),"")</f>
        <v/>
      </c>
      <c r="S249" s="17">
        <v>0</v>
      </c>
      <c r="T249" s="17">
        <v>0</v>
      </c>
      <c r="U249" s="17">
        <v>0</v>
      </c>
      <c r="V249" s="17">
        <v>0</v>
      </c>
      <c r="W249" s="20">
        <v>7500</v>
      </c>
      <c r="X249" s="16" t="s">
        <v>40</v>
      </c>
      <c r="Y249" s="21" t="s">
        <v>40</v>
      </c>
      <c r="Z249" s="20">
        <v>0</v>
      </c>
      <c r="AA249" s="17" t="s">
        <v>40</v>
      </c>
      <c r="AB249" s="22" t="s">
        <v>41</v>
      </c>
      <c r="AC249" s="23" t="str">
        <f t="shared" si="23"/>
        <v>E</v>
      </c>
      <c r="AD249" s="17">
        <v>0</v>
      </c>
      <c r="AE249" s="17">
        <v>0</v>
      </c>
      <c r="AF249" s="17">
        <v>0</v>
      </c>
      <c r="AG249" s="17">
        <v>0</v>
      </c>
      <c r="AH249" s="15" t="s">
        <v>42</v>
      </c>
    </row>
    <row r="250" spans="1:34">
      <c r="A250" s="13" t="str">
        <f t="shared" si="18"/>
        <v>None</v>
      </c>
      <c r="B250" s="14" t="s">
        <v>44</v>
      </c>
      <c r="C250" s="15" t="s">
        <v>39</v>
      </c>
      <c r="D250" s="19" t="str">
        <f t="shared" si="19"/>
        <v>前八週無拉料</v>
      </c>
      <c r="E250" s="16" t="str">
        <f t="shared" si="20"/>
        <v>--</v>
      </c>
      <c r="F250" s="16" t="str">
        <f t="shared" si="21"/>
        <v>--</v>
      </c>
      <c r="G250" s="16" t="str">
        <f t="shared" si="22"/>
        <v>--</v>
      </c>
      <c r="H250" s="24" t="str">
        <f>IFERROR(VLOOKUP(B250,#REF!,8,FALSE),"")</f>
        <v/>
      </c>
      <c r="I250" s="17">
        <v>0</v>
      </c>
      <c r="J250" s="17">
        <v>0</v>
      </c>
      <c r="K250" s="24" t="str">
        <f>IFERROR(VLOOKUP(B250,#REF!,11,FALSE),"")</f>
        <v/>
      </c>
      <c r="L250" s="17">
        <v>0</v>
      </c>
      <c r="M250" s="6" t="s">
        <v>744</v>
      </c>
      <c r="N250" s="18" t="str">
        <f>IFERROR(VLOOKUP(B250,#REF!,13,FALSE),"")</f>
        <v/>
      </c>
      <c r="O250" s="19" t="str">
        <f>IFERROR(VLOOKUP(B250,#REF!,14,FALSE),"")</f>
        <v/>
      </c>
      <c r="P250" s="19" t="str">
        <f>IFERROR(VLOOKUP(B250,#REF!,15,FALSE),"")</f>
        <v/>
      </c>
      <c r="Q250" s="19"/>
      <c r="R250" s="25" t="str">
        <f>IFERROR(VLOOKUP(B250,#REF!,16,FALSE),"")</f>
        <v/>
      </c>
      <c r="S250" s="17">
        <v>0</v>
      </c>
      <c r="T250" s="17">
        <v>0</v>
      </c>
      <c r="U250" s="17">
        <v>0</v>
      </c>
      <c r="V250" s="17">
        <v>0</v>
      </c>
      <c r="W250" s="20">
        <v>0</v>
      </c>
      <c r="X250" s="16" t="s">
        <v>40</v>
      </c>
      <c r="Y250" s="21" t="s">
        <v>40</v>
      </c>
      <c r="Z250" s="20">
        <v>0</v>
      </c>
      <c r="AA250" s="17" t="s">
        <v>40</v>
      </c>
      <c r="AB250" s="22" t="s">
        <v>41</v>
      </c>
      <c r="AC250" s="23" t="str">
        <f t="shared" si="23"/>
        <v>E</v>
      </c>
      <c r="AD250" s="17">
        <v>0</v>
      </c>
      <c r="AE250" s="17">
        <v>0</v>
      </c>
      <c r="AF250" s="17">
        <v>0</v>
      </c>
      <c r="AG250" s="17">
        <v>0</v>
      </c>
      <c r="AH250" s="15" t="s">
        <v>42</v>
      </c>
    </row>
    <row r="251" spans="1:34">
      <c r="A251" s="13" t="str">
        <f t="shared" si="18"/>
        <v>Normal</v>
      </c>
      <c r="B251" s="14" t="s">
        <v>45</v>
      </c>
      <c r="C251" s="15" t="s">
        <v>46</v>
      </c>
      <c r="D251" s="19">
        <f t="shared" si="19"/>
        <v>5.3</v>
      </c>
      <c r="E251" s="16">
        <f t="shared" si="20"/>
        <v>9</v>
      </c>
      <c r="F251" s="16">
        <f t="shared" si="21"/>
        <v>10.7</v>
      </c>
      <c r="G251" s="16">
        <f t="shared" si="22"/>
        <v>18</v>
      </c>
      <c r="H251" s="24" t="str">
        <f>IFERROR(VLOOKUP(B251,#REF!,8,FALSE),"")</f>
        <v/>
      </c>
      <c r="I251" s="17">
        <v>10000</v>
      </c>
      <c r="J251" s="17">
        <v>0</v>
      </c>
      <c r="K251" s="24" t="str">
        <f>IFERROR(VLOOKUP(B251,#REF!,11,FALSE),"")</f>
        <v/>
      </c>
      <c r="L251" s="17">
        <v>5000</v>
      </c>
      <c r="M251" s="6" t="s">
        <v>745</v>
      </c>
      <c r="N251" s="18" t="str">
        <f>IFERROR(VLOOKUP(B251,#REF!,13,FALSE),"")</f>
        <v/>
      </c>
      <c r="O251" s="19" t="str">
        <f>IFERROR(VLOOKUP(B251,#REF!,14,FALSE),"")</f>
        <v/>
      </c>
      <c r="P251" s="19" t="str">
        <f>IFERROR(VLOOKUP(B251,#REF!,15,FALSE),"")</f>
        <v/>
      </c>
      <c r="Q251" s="19"/>
      <c r="R251" s="25" t="str">
        <f>IFERROR(VLOOKUP(B251,#REF!,16,FALSE),"")</f>
        <v/>
      </c>
      <c r="S251" s="17">
        <v>0</v>
      </c>
      <c r="T251" s="17">
        <v>5000</v>
      </c>
      <c r="U251" s="17">
        <v>0</v>
      </c>
      <c r="V251" s="17">
        <v>0</v>
      </c>
      <c r="W251" s="20">
        <v>15000</v>
      </c>
      <c r="X251" s="16">
        <v>16</v>
      </c>
      <c r="Y251" s="21">
        <v>27</v>
      </c>
      <c r="Z251" s="20">
        <v>938</v>
      </c>
      <c r="AA251" s="17">
        <v>556</v>
      </c>
      <c r="AB251" s="22">
        <v>0.6</v>
      </c>
      <c r="AC251" s="23">
        <f t="shared" si="23"/>
        <v>100</v>
      </c>
      <c r="AD251" s="17">
        <v>0</v>
      </c>
      <c r="AE251" s="17">
        <v>5000</v>
      </c>
      <c r="AF251" s="17">
        <v>2500</v>
      </c>
      <c r="AG251" s="17">
        <v>0</v>
      </c>
      <c r="AH251" s="15" t="s">
        <v>42</v>
      </c>
    </row>
    <row r="252" spans="1:34">
      <c r="A252" s="13" t="str">
        <f t="shared" si="18"/>
        <v>ZeroZero</v>
      </c>
      <c r="B252" s="14" t="s">
        <v>47</v>
      </c>
      <c r="C252" s="15" t="s">
        <v>48</v>
      </c>
      <c r="D252" s="19" t="str">
        <f t="shared" si="19"/>
        <v>前八週無拉料</v>
      </c>
      <c r="E252" s="16" t="str">
        <f t="shared" si="20"/>
        <v>--</v>
      </c>
      <c r="F252" s="16" t="str">
        <f t="shared" si="21"/>
        <v>--</v>
      </c>
      <c r="G252" s="16" t="str">
        <f t="shared" si="22"/>
        <v>--</v>
      </c>
      <c r="H252" s="24" t="str">
        <f>IFERROR(VLOOKUP(B252,#REF!,8,FALSE),"")</f>
        <v/>
      </c>
      <c r="I252" s="17">
        <v>28000</v>
      </c>
      <c r="J252" s="17">
        <v>28000</v>
      </c>
      <c r="K252" s="24" t="str">
        <f>IFERROR(VLOOKUP(B252,#REF!,11,FALSE),"")</f>
        <v/>
      </c>
      <c r="L252" s="17">
        <v>0</v>
      </c>
      <c r="M252" s="6" t="s">
        <v>743</v>
      </c>
      <c r="N252" s="18" t="str">
        <f>IFERROR(VLOOKUP(B252,#REF!,13,FALSE),"")</f>
        <v/>
      </c>
      <c r="O252" s="19" t="str">
        <f>IFERROR(VLOOKUP(B252,#REF!,14,FALSE),"")</f>
        <v/>
      </c>
      <c r="P252" s="19" t="str">
        <f>IFERROR(VLOOKUP(B252,#REF!,15,FALSE),"")</f>
        <v/>
      </c>
      <c r="Q252" s="19"/>
      <c r="R252" s="25" t="str">
        <f>IFERROR(VLOOKUP(B252,#REF!,16,FALSE),"")</f>
        <v/>
      </c>
      <c r="S252" s="17">
        <v>0</v>
      </c>
      <c r="T252" s="17">
        <v>0</v>
      </c>
      <c r="U252" s="17">
        <v>0</v>
      </c>
      <c r="V252" s="17">
        <v>0</v>
      </c>
      <c r="W252" s="20">
        <v>28000</v>
      </c>
      <c r="X252" s="16" t="s">
        <v>40</v>
      </c>
      <c r="Y252" s="21" t="s">
        <v>40</v>
      </c>
      <c r="Z252" s="20">
        <v>0</v>
      </c>
      <c r="AA252" s="17" t="s">
        <v>40</v>
      </c>
      <c r="AB252" s="22" t="s">
        <v>41</v>
      </c>
      <c r="AC252" s="23" t="str">
        <f t="shared" si="23"/>
        <v>E</v>
      </c>
      <c r="AD252" s="17">
        <v>0</v>
      </c>
      <c r="AE252" s="17">
        <v>0</v>
      </c>
      <c r="AF252" s="17">
        <v>0</v>
      </c>
      <c r="AG252" s="17">
        <v>0</v>
      </c>
      <c r="AH252" s="15" t="s">
        <v>42</v>
      </c>
    </row>
    <row r="253" spans="1:34">
      <c r="A253" s="13" t="str">
        <f t="shared" si="18"/>
        <v>ZeroZero</v>
      </c>
      <c r="B253" s="14" t="s">
        <v>49</v>
      </c>
      <c r="C253" s="15" t="s">
        <v>48</v>
      </c>
      <c r="D253" s="19" t="str">
        <f t="shared" si="19"/>
        <v>前八週無拉料</v>
      </c>
      <c r="E253" s="16" t="str">
        <f t="shared" si="20"/>
        <v>--</v>
      </c>
      <c r="F253" s="16" t="str">
        <f t="shared" si="21"/>
        <v>--</v>
      </c>
      <c r="G253" s="16" t="str">
        <f t="shared" si="22"/>
        <v>--</v>
      </c>
      <c r="H253" s="24" t="str">
        <f>IFERROR(VLOOKUP(B253,#REF!,8,FALSE),"")</f>
        <v/>
      </c>
      <c r="I253" s="17">
        <v>130000</v>
      </c>
      <c r="J253" s="17">
        <v>130000</v>
      </c>
      <c r="K253" s="24" t="str">
        <f>IFERROR(VLOOKUP(B253,#REF!,11,FALSE),"")</f>
        <v/>
      </c>
      <c r="L253" s="17">
        <v>0</v>
      </c>
      <c r="M253" s="6" t="s">
        <v>743</v>
      </c>
      <c r="N253" s="18" t="str">
        <f>IFERROR(VLOOKUP(B253,#REF!,13,FALSE),"")</f>
        <v/>
      </c>
      <c r="O253" s="19" t="str">
        <f>IFERROR(VLOOKUP(B253,#REF!,14,FALSE),"")</f>
        <v/>
      </c>
      <c r="P253" s="19" t="str">
        <f>IFERROR(VLOOKUP(B253,#REF!,15,FALSE),"")</f>
        <v/>
      </c>
      <c r="Q253" s="19"/>
      <c r="R253" s="25" t="str">
        <f>IFERROR(VLOOKUP(B253,#REF!,16,FALSE),"")</f>
        <v/>
      </c>
      <c r="S253" s="17">
        <v>0</v>
      </c>
      <c r="T253" s="17">
        <v>0</v>
      </c>
      <c r="U253" s="17">
        <v>0</v>
      </c>
      <c r="V253" s="17">
        <v>0</v>
      </c>
      <c r="W253" s="20">
        <v>130000</v>
      </c>
      <c r="X253" s="16" t="s">
        <v>40</v>
      </c>
      <c r="Y253" s="21" t="s">
        <v>40</v>
      </c>
      <c r="Z253" s="20">
        <v>0</v>
      </c>
      <c r="AA253" s="17" t="s">
        <v>40</v>
      </c>
      <c r="AB253" s="22" t="s">
        <v>41</v>
      </c>
      <c r="AC253" s="23" t="str">
        <f t="shared" si="23"/>
        <v>E</v>
      </c>
      <c r="AD253" s="17">
        <v>0</v>
      </c>
      <c r="AE253" s="17">
        <v>0</v>
      </c>
      <c r="AF253" s="17">
        <v>0</v>
      </c>
      <c r="AG253" s="17">
        <v>0</v>
      </c>
      <c r="AH253" s="15" t="s">
        <v>42</v>
      </c>
    </row>
    <row r="254" spans="1:34">
      <c r="A254" s="13" t="str">
        <f t="shared" si="18"/>
        <v>FCST</v>
      </c>
      <c r="B254" s="14" t="s">
        <v>50</v>
      </c>
      <c r="C254" s="15" t="s">
        <v>48</v>
      </c>
      <c r="D254" s="19" t="str">
        <f t="shared" si="19"/>
        <v>前八週無拉料</v>
      </c>
      <c r="E254" s="16">
        <f t="shared" si="20"/>
        <v>0</v>
      </c>
      <c r="F254" s="16" t="str">
        <f t="shared" si="21"/>
        <v>--</v>
      </c>
      <c r="G254" s="16">
        <f t="shared" si="22"/>
        <v>10.1</v>
      </c>
      <c r="H254" s="24" t="str">
        <f>IFERROR(VLOOKUP(B254,#REF!,8,FALSE),"")</f>
        <v/>
      </c>
      <c r="I254" s="17">
        <v>28000</v>
      </c>
      <c r="J254" s="17">
        <v>18000</v>
      </c>
      <c r="K254" s="24" t="str">
        <f>IFERROR(VLOOKUP(B254,#REF!,11,FALSE),"")</f>
        <v/>
      </c>
      <c r="L254" s="17">
        <v>0</v>
      </c>
      <c r="M254" s="6" t="s">
        <v>743</v>
      </c>
      <c r="N254" s="18" t="str">
        <f>IFERROR(VLOOKUP(B254,#REF!,13,FALSE),"")</f>
        <v/>
      </c>
      <c r="O254" s="19" t="str">
        <f>IFERROR(VLOOKUP(B254,#REF!,14,FALSE),"")</f>
        <v/>
      </c>
      <c r="P254" s="19" t="str">
        <f>IFERROR(VLOOKUP(B254,#REF!,15,FALSE),"")</f>
        <v/>
      </c>
      <c r="Q254" s="19"/>
      <c r="R254" s="25" t="str">
        <f>IFERROR(VLOOKUP(B254,#REF!,16,FALSE),"")</f>
        <v/>
      </c>
      <c r="S254" s="17">
        <v>0</v>
      </c>
      <c r="T254" s="17">
        <v>0</v>
      </c>
      <c r="U254" s="17">
        <v>0</v>
      </c>
      <c r="V254" s="17">
        <v>0</v>
      </c>
      <c r="W254" s="20">
        <v>28000</v>
      </c>
      <c r="X254" s="16" t="s">
        <v>40</v>
      </c>
      <c r="Y254" s="21">
        <v>10.1</v>
      </c>
      <c r="Z254" s="20">
        <v>0</v>
      </c>
      <c r="AA254" s="17">
        <v>2778</v>
      </c>
      <c r="AB254" s="22" t="s">
        <v>51</v>
      </c>
      <c r="AC254" s="23" t="str">
        <f t="shared" si="23"/>
        <v>F</v>
      </c>
      <c r="AD254" s="17">
        <v>0</v>
      </c>
      <c r="AE254" s="17">
        <v>0</v>
      </c>
      <c r="AF254" s="17">
        <v>25000</v>
      </c>
      <c r="AG254" s="17">
        <v>15000</v>
      </c>
      <c r="AH254" s="15" t="s">
        <v>42</v>
      </c>
    </row>
    <row r="255" spans="1:34">
      <c r="A255" s="13" t="str">
        <f t="shared" si="18"/>
        <v>Normal</v>
      </c>
      <c r="B255" s="14" t="s">
        <v>52</v>
      </c>
      <c r="C255" s="15" t="s">
        <v>48</v>
      </c>
      <c r="D255" s="19">
        <f t="shared" si="19"/>
        <v>0</v>
      </c>
      <c r="E255" s="16">
        <f t="shared" si="20"/>
        <v>0</v>
      </c>
      <c r="F255" s="16">
        <f t="shared" si="21"/>
        <v>4.5</v>
      </c>
      <c r="G255" s="16">
        <f t="shared" si="22"/>
        <v>12</v>
      </c>
      <c r="H255" s="24" t="str">
        <f>IFERROR(VLOOKUP(B255,#REF!,8,FALSE),"")</f>
        <v/>
      </c>
      <c r="I255" s="17">
        <v>56000</v>
      </c>
      <c r="J255" s="17">
        <v>42000</v>
      </c>
      <c r="K255" s="24" t="str">
        <f>IFERROR(VLOOKUP(B255,#REF!,11,FALSE),"")</f>
        <v/>
      </c>
      <c r="L255" s="17">
        <v>0</v>
      </c>
      <c r="M255" s="6" t="s">
        <v>743</v>
      </c>
      <c r="N255" s="18" t="str">
        <f>IFERROR(VLOOKUP(B255,#REF!,13,FALSE),"")</f>
        <v/>
      </c>
      <c r="O255" s="19" t="str">
        <f>IFERROR(VLOOKUP(B255,#REF!,14,FALSE),"")</f>
        <v/>
      </c>
      <c r="P255" s="19" t="str">
        <f>IFERROR(VLOOKUP(B255,#REF!,15,FALSE),"")</f>
        <v/>
      </c>
      <c r="Q255" s="19"/>
      <c r="R255" s="25" t="str">
        <f>IFERROR(VLOOKUP(B255,#REF!,16,FALSE),"")</f>
        <v/>
      </c>
      <c r="S255" s="17">
        <v>0</v>
      </c>
      <c r="T255" s="17">
        <v>0</v>
      </c>
      <c r="U255" s="17">
        <v>0</v>
      </c>
      <c r="V255" s="17">
        <v>0</v>
      </c>
      <c r="W255" s="20">
        <v>56000</v>
      </c>
      <c r="X255" s="16">
        <v>4.5</v>
      </c>
      <c r="Y255" s="21">
        <v>12</v>
      </c>
      <c r="Z255" s="20">
        <v>12500</v>
      </c>
      <c r="AA255" s="17">
        <v>4667</v>
      </c>
      <c r="AB255" s="22">
        <v>0.4</v>
      </c>
      <c r="AC255" s="23">
        <f t="shared" si="23"/>
        <v>50</v>
      </c>
      <c r="AD255" s="17">
        <v>44000</v>
      </c>
      <c r="AE255" s="17">
        <v>22000</v>
      </c>
      <c r="AF255" s="17">
        <v>4000</v>
      </c>
      <c r="AG255" s="17">
        <v>18000</v>
      </c>
      <c r="AH255" s="15" t="s">
        <v>42</v>
      </c>
    </row>
    <row r="256" spans="1:34">
      <c r="A256" s="13" t="str">
        <f t="shared" si="18"/>
        <v>Normal</v>
      </c>
      <c r="B256" s="14" t="s">
        <v>53</v>
      </c>
      <c r="C256" s="15" t="s">
        <v>54</v>
      </c>
      <c r="D256" s="19">
        <f t="shared" si="19"/>
        <v>0</v>
      </c>
      <c r="E256" s="16" t="str">
        <f t="shared" si="20"/>
        <v>--</v>
      </c>
      <c r="F256" s="16">
        <f t="shared" si="21"/>
        <v>0</v>
      </c>
      <c r="G256" s="16" t="str">
        <f t="shared" si="22"/>
        <v>--</v>
      </c>
      <c r="H256" s="24" t="str">
        <f>IFERROR(VLOOKUP(B256,#REF!,8,FALSE),"")</f>
        <v/>
      </c>
      <c r="I256" s="17">
        <v>0</v>
      </c>
      <c r="J256" s="17">
        <v>0</v>
      </c>
      <c r="K256" s="24" t="str">
        <f>IFERROR(VLOOKUP(B256,#REF!,11,FALSE),"")</f>
        <v/>
      </c>
      <c r="L256" s="17">
        <v>0</v>
      </c>
      <c r="M256" s="6" t="s">
        <v>746</v>
      </c>
      <c r="N256" s="18" t="str">
        <f>IFERROR(VLOOKUP(B256,#REF!,13,FALSE),"")</f>
        <v/>
      </c>
      <c r="O256" s="19" t="str">
        <f>IFERROR(VLOOKUP(B256,#REF!,14,FALSE),"")</f>
        <v/>
      </c>
      <c r="P256" s="19" t="str">
        <f>IFERROR(VLOOKUP(B256,#REF!,15,FALSE),"")</f>
        <v/>
      </c>
      <c r="Q256" s="19"/>
      <c r="R256" s="25" t="str">
        <f>IFERROR(VLOOKUP(B256,#REF!,16,FALSE),"")</f>
        <v/>
      </c>
      <c r="S256" s="17">
        <v>0</v>
      </c>
      <c r="T256" s="17">
        <v>0</v>
      </c>
      <c r="U256" s="17">
        <v>0</v>
      </c>
      <c r="V256" s="17">
        <v>0</v>
      </c>
      <c r="W256" s="20">
        <v>0</v>
      </c>
      <c r="X256" s="16">
        <v>0</v>
      </c>
      <c r="Y256" s="21" t="s">
        <v>40</v>
      </c>
      <c r="Z256" s="20">
        <v>900</v>
      </c>
      <c r="AA256" s="17" t="s">
        <v>40</v>
      </c>
      <c r="AB256" s="22" t="s">
        <v>41</v>
      </c>
      <c r="AC256" s="23" t="str">
        <f t="shared" si="23"/>
        <v>E</v>
      </c>
      <c r="AD256" s="17">
        <v>0</v>
      </c>
      <c r="AE256" s="17">
        <v>0</v>
      </c>
      <c r="AF256" s="17">
        <v>0</v>
      </c>
      <c r="AG256" s="17">
        <v>0</v>
      </c>
      <c r="AH256" s="15" t="s">
        <v>42</v>
      </c>
    </row>
    <row r="257" spans="1:34">
      <c r="A257" s="13" t="str">
        <f t="shared" si="18"/>
        <v>Normal</v>
      </c>
      <c r="B257" s="14" t="s">
        <v>55</v>
      </c>
      <c r="C257" s="15" t="s">
        <v>54</v>
      </c>
      <c r="D257" s="19">
        <f t="shared" si="19"/>
        <v>0</v>
      </c>
      <c r="E257" s="16" t="str">
        <f t="shared" si="20"/>
        <v>--</v>
      </c>
      <c r="F257" s="16">
        <f t="shared" si="21"/>
        <v>9.6</v>
      </c>
      <c r="G257" s="16" t="str">
        <f t="shared" si="22"/>
        <v>--</v>
      </c>
      <c r="H257" s="24" t="str">
        <f>IFERROR(VLOOKUP(B257,#REF!,8,FALSE),"")</f>
        <v/>
      </c>
      <c r="I257" s="17">
        <v>18000</v>
      </c>
      <c r="J257" s="17">
        <v>18000</v>
      </c>
      <c r="K257" s="24" t="str">
        <f>IFERROR(VLOOKUP(B257,#REF!,11,FALSE),"")</f>
        <v/>
      </c>
      <c r="L257" s="17">
        <v>0</v>
      </c>
      <c r="M257" s="6" t="s">
        <v>746</v>
      </c>
      <c r="N257" s="18" t="str">
        <f>IFERROR(VLOOKUP(B257,#REF!,13,FALSE),"")</f>
        <v/>
      </c>
      <c r="O257" s="19" t="str">
        <f>IFERROR(VLOOKUP(B257,#REF!,14,FALSE),"")</f>
        <v/>
      </c>
      <c r="P257" s="19" t="str">
        <f>IFERROR(VLOOKUP(B257,#REF!,15,FALSE),"")</f>
        <v/>
      </c>
      <c r="Q257" s="19"/>
      <c r="R257" s="25" t="str">
        <f>IFERROR(VLOOKUP(B257,#REF!,16,FALSE),"")</f>
        <v/>
      </c>
      <c r="S257" s="17">
        <v>0</v>
      </c>
      <c r="T257" s="17">
        <v>0</v>
      </c>
      <c r="U257" s="17">
        <v>0</v>
      </c>
      <c r="V257" s="17">
        <v>0</v>
      </c>
      <c r="W257" s="20">
        <v>18000</v>
      </c>
      <c r="X257" s="16">
        <v>9.6</v>
      </c>
      <c r="Y257" s="21" t="s">
        <v>40</v>
      </c>
      <c r="Z257" s="20">
        <v>1875</v>
      </c>
      <c r="AA257" s="17" t="s">
        <v>40</v>
      </c>
      <c r="AB257" s="22" t="s">
        <v>41</v>
      </c>
      <c r="AC257" s="23" t="str">
        <f t="shared" si="23"/>
        <v>E</v>
      </c>
      <c r="AD257" s="17">
        <v>0</v>
      </c>
      <c r="AE257" s="17">
        <v>0</v>
      </c>
      <c r="AF257" s="17">
        <v>0</v>
      </c>
      <c r="AG257" s="17">
        <v>0</v>
      </c>
      <c r="AH257" s="15" t="s">
        <v>42</v>
      </c>
    </row>
    <row r="258" spans="1:34">
      <c r="A258" s="13" t="str">
        <f t="shared" si="18"/>
        <v>OverStock</v>
      </c>
      <c r="B258" s="14" t="s">
        <v>56</v>
      </c>
      <c r="C258" s="15" t="s">
        <v>54</v>
      </c>
      <c r="D258" s="19">
        <f t="shared" si="19"/>
        <v>0</v>
      </c>
      <c r="E258" s="16" t="str">
        <f t="shared" si="20"/>
        <v>--</v>
      </c>
      <c r="F258" s="16">
        <f t="shared" si="21"/>
        <v>24.3</v>
      </c>
      <c r="G258" s="16" t="str">
        <f t="shared" si="22"/>
        <v>--</v>
      </c>
      <c r="H258" s="24" t="str">
        <f>IFERROR(VLOOKUP(B258,#REF!,8,FALSE),"")</f>
        <v/>
      </c>
      <c r="I258" s="17">
        <v>60000</v>
      </c>
      <c r="J258" s="17">
        <v>60000</v>
      </c>
      <c r="K258" s="24" t="str">
        <f>IFERROR(VLOOKUP(B258,#REF!,11,FALSE),"")</f>
        <v/>
      </c>
      <c r="L258" s="17">
        <v>0</v>
      </c>
      <c r="M258" s="6" t="s">
        <v>746</v>
      </c>
      <c r="N258" s="18" t="str">
        <f>IFERROR(VLOOKUP(B258,#REF!,13,FALSE),"")</f>
        <v/>
      </c>
      <c r="O258" s="19" t="str">
        <f>IFERROR(VLOOKUP(B258,#REF!,14,FALSE),"")</f>
        <v/>
      </c>
      <c r="P258" s="19" t="str">
        <f>IFERROR(VLOOKUP(B258,#REF!,15,FALSE),"")</f>
        <v/>
      </c>
      <c r="Q258" s="19"/>
      <c r="R258" s="25" t="str">
        <f>IFERROR(VLOOKUP(B258,#REF!,16,FALSE),"")</f>
        <v/>
      </c>
      <c r="S258" s="17">
        <v>0</v>
      </c>
      <c r="T258" s="17">
        <v>0</v>
      </c>
      <c r="U258" s="17">
        <v>0</v>
      </c>
      <c r="V258" s="17">
        <v>0</v>
      </c>
      <c r="W258" s="20">
        <v>60000</v>
      </c>
      <c r="X258" s="16">
        <v>24.3</v>
      </c>
      <c r="Y258" s="21" t="s">
        <v>40</v>
      </c>
      <c r="Z258" s="20">
        <v>2470</v>
      </c>
      <c r="AA258" s="17" t="s">
        <v>40</v>
      </c>
      <c r="AB258" s="22" t="s">
        <v>41</v>
      </c>
      <c r="AC258" s="23" t="str">
        <f t="shared" si="23"/>
        <v>E</v>
      </c>
      <c r="AD258" s="17">
        <v>0</v>
      </c>
      <c r="AE258" s="17">
        <v>0</v>
      </c>
      <c r="AF258" s="17">
        <v>0</v>
      </c>
      <c r="AG258" s="17">
        <v>0</v>
      </c>
      <c r="AH258" s="15" t="s">
        <v>42</v>
      </c>
    </row>
    <row r="259" spans="1:34">
      <c r="A259" s="13" t="str">
        <f t="shared" si="18"/>
        <v>None</v>
      </c>
      <c r="B259" s="14" t="s">
        <v>57</v>
      </c>
      <c r="C259" s="15" t="s">
        <v>54</v>
      </c>
      <c r="D259" s="19" t="str">
        <f t="shared" si="19"/>
        <v>前八週無拉料</v>
      </c>
      <c r="E259" s="16" t="str">
        <f t="shared" si="20"/>
        <v>--</v>
      </c>
      <c r="F259" s="16" t="str">
        <f t="shared" si="21"/>
        <v>--</v>
      </c>
      <c r="G259" s="16" t="str">
        <f t="shared" si="22"/>
        <v>--</v>
      </c>
      <c r="H259" s="24" t="str">
        <f>IFERROR(VLOOKUP(B259,#REF!,8,FALSE),"")</f>
        <v/>
      </c>
      <c r="I259" s="17">
        <v>0</v>
      </c>
      <c r="J259" s="17">
        <v>0</v>
      </c>
      <c r="K259" s="24" t="str">
        <f>IFERROR(VLOOKUP(B259,#REF!,11,FALSE),"")</f>
        <v/>
      </c>
      <c r="L259" s="17">
        <v>0</v>
      </c>
      <c r="M259" s="6" t="s">
        <v>746</v>
      </c>
      <c r="N259" s="18" t="str">
        <f>IFERROR(VLOOKUP(B259,#REF!,13,FALSE),"")</f>
        <v/>
      </c>
      <c r="O259" s="19" t="str">
        <f>IFERROR(VLOOKUP(B259,#REF!,14,FALSE),"")</f>
        <v/>
      </c>
      <c r="P259" s="19" t="str">
        <f>IFERROR(VLOOKUP(B259,#REF!,15,FALSE),"")</f>
        <v/>
      </c>
      <c r="Q259" s="19"/>
      <c r="R259" s="25" t="str">
        <f>IFERROR(VLOOKUP(B259,#REF!,16,FALSE),"")</f>
        <v/>
      </c>
      <c r="S259" s="17">
        <v>0</v>
      </c>
      <c r="T259" s="17">
        <v>0</v>
      </c>
      <c r="U259" s="17">
        <v>0</v>
      </c>
      <c r="V259" s="17">
        <v>0</v>
      </c>
      <c r="W259" s="20">
        <v>0</v>
      </c>
      <c r="X259" s="16" t="s">
        <v>40</v>
      </c>
      <c r="Y259" s="21" t="s">
        <v>40</v>
      </c>
      <c r="Z259" s="20">
        <v>0</v>
      </c>
      <c r="AA259" s="17" t="s">
        <v>40</v>
      </c>
      <c r="AB259" s="22" t="s">
        <v>41</v>
      </c>
      <c r="AC259" s="23" t="str">
        <f t="shared" si="23"/>
        <v>E</v>
      </c>
      <c r="AD259" s="17">
        <v>0</v>
      </c>
      <c r="AE259" s="17">
        <v>0</v>
      </c>
      <c r="AF259" s="17">
        <v>0</v>
      </c>
      <c r="AG259" s="17">
        <v>0</v>
      </c>
      <c r="AH259" s="15" t="s">
        <v>42</v>
      </c>
    </row>
    <row r="260" spans="1:34">
      <c r="A260" s="13" t="str">
        <f t="shared" ref="A260:A323" si="24">IF(OR(Z260=0,LEN(Z260)=0)*OR(AA260=0,LEN(AA260)=0),IF(W260&gt;0,"ZeroZero","None"),IF(IF(LEN(X260)=0,0,X260)&gt;16,"OverStock",IF(Z260=0,"FCST","Normal")))</f>
        <v>Normal</v>
      </c>
      <c r="B260" s="14" t="s">
        <v>58</v>
      </c>
      <c r="C260" s="15" t="s">
        <v>54</v>
      </c>
      <c r="D260" s="19">
        <f t="shared" ref="D260:D323" si="25">IF(Z260=0,"前八週無拉料",ROUND(L260/Z260,1))</f>
        <v>0</v>
      </c>
      <c r="E260" s="16" t="str">
        <f t="shared" ref="E260:E323" si="26">IF(OR(AA260=0,LEN(AA260)=0),"--",ROUND(L260/AA260,1))</f>
        <v>--</v>
      </c>
      <c r="F260" s="16">
        <f t="shared" ref="F260:F323" si="27">IF(Z260=0,"--",ROUND(I260/Z260,1))</f>
        <v>4</v>
      </c>
      <c r="G260" s="16" t="str">
        <f t="shared" ref="G260:G323" si="28">IF(OR(AA260=0,LEN(AA260)=0),"--",ROUND(I260/AA260,1))</f>
        <v>--</v>
      </c>
      <c r="H260" s="24" t="str">
        <f>IFERROR(VLOOKUP(B260,#REF!,8,FALSE),"")</f>
        <v/>
      </c>
      <c r="I260" s="17">
        <v>1520</v>
      </c>
      <c r="J260" s="17">
        <v>1520</v>
      </c>
      <c r="K260" s="24" t="str">
        <f>IFERROR(VLOOKUP(B260,#REF!,11,FALSE),"")</f>
        <v/>
      </c>
      <c r="L260" s="17">
        <v>0</v>
      </c>
      <c r="M260" s="6" t="s">
        <v>746</v>
      </c>
      <c r="N260" s="18" t="str">
        <f>IFERROR(VLOOKUP(B260,#REF!,13,FALSE),"")</f>
        <v/>
      </c>
      <c r="O260" s="19" t="str">
        <f>IFERROR(VLOOKUP(B260,#REF!,14,FALSE),"")</f>
        <v/>
      </c>
      <c r="P260" s="19" t="str">
        <f>IFERROR(VLOOKUP(B260,#REF!,15,FALSE),"")</f>
        <v/>
      </c>
      <c r="Q260" s="19"/>
      <c r="R260" s="25" t="str">
        <f>IFERROR(VLOOKUP(B260,#REF!,16,FALSE),"")</f>
        <v/>
      </c>
      <c r="S260" s="17">
        <v>0</v>
      </c>
      <c r="T260" s="17">
        <v>0</v>
      </c>
      <c r="U260" s="17">
        <v>0</v>
      </c>
      <c r="V260" s="17">
        <v>0</v>
      </c>
      <c r="W260" s="20">
        <v>1520</v>
      </c>
      <c r="X260" s="16">
        <v>4</v>
      </c>
      <c r="Y260" s="21" t="s">
        <v>40</v>
      </c>
      <c r="Z260" s="20">
        <v>380</v>
      </c>
      <c r="AA260" s="17" t="s">
        <v>40</v>
      </c>
      <c r="AB260" s="22" t="s">
        <v>41</v>
      </c>
      <c r="AC260" s="23" t="str">
        <f t="shared" ref="AC260:AC323" si="29">IF($AB260="E","E",IF($AB260="F","F",IF($AB260&lt;0.5,50,IF($AB260&lt;2,100,150))))</f>
        <v>E</v>
      </c>
      <c r="AD260" s="17">
        <v>0</v>
      </c>
      <c r="AE260" s="17">
        <v>0</v>
      </c>
      <c r="AF260" s="17">
        <v>0</v>
      </c>
      <c r="AG260" s="17">
        <v>0</v>
      </c>
      <c r="AH260" s="15" t="s">
        <v>42</v>
      </c>
    </row>
    <row r="261" spans="1:34">
      <c r="A261" s="13" t="str">
        <f t="shared" si="24"/>
        <v>Normal</v>
      </c>
      <c r="B261" s="14" t="s">
        <v>59</v>
      </c>
      <c r="C261" s="15" t="s">
        <v>54</v>
      </c>
      <c r="D261" s="19">
        <f t="shared" si="25"/>
        <v>0.2</v>
      </c>
      <c r="E261" s="16" t="str">
        <f t="shared" si="26"/>
        <v>--</v>
      </c>
      <c r="F261" s="16">
        <f t="shared" si="27"/>
        <v>0</v>
      </c>
      <c r="G261" s="16" t="str">
        <f t="shared" si="28"/>
        <v>--</v>
      </c>
      <c r="H261" s="24" t="str">
        <f>IFERROR(VLOOKUP(B261,#REF!,8,FALSE),"")</f>
        <v/>
      </c>
      <c r="I261" s="17">
        <v>0</v>
      </c>
      <c r="J261" s="17">
        <v>0</v>
      </c>
      <c r="K261" s="24" t="str">
        <f>IFERROR(VLOOKUP(B261,#REF!,11,FALSE),"")</f>
        <v/>
      </c>
      <c r="L261" s="17">
        <v>1140</v>
      </c>
      <c r="M261" s="6" t="s">
        <v>746</v>
      </c>
      <c r="N261" s="18" t="str">
        <f>IFERROR(VLOOKUP(B261,#REF!,13,FALSE),"")</f>
        <v/>
      </c>
      <c r="O261" s="19" t="str">
        <f>IFERROR(VLOOKUP(B261,#REF!,14,FALSE),"")</f>
        <v/>
      </c>
      <c r="P261" s="19" t="str">
        <f>IFERROR(VLOOKUP(B261,#REF!,15,FALSE),"")</f>
        <v/>
      </c>
      <c r="Q261" s="19"/>
      <c r="R261" s="25" t="str">
        <f>IFERROR(VLOOKUP(B261,#REF!,16,FALSE),"")</f>
        <v/>
      </c>
      <c r="S261" s="17">
        <v>0</v>
      </c>
      <c r="T261" s="17">
        <v>1140</v>
      </c>
      <c r="U261" s="17">
        <v>0</v>
      </c>
      <c r="V261" s="17">
        <v>0</v>
      </c>
      <c r="W261" s="20">
        <v>1140</v>
      </c>
      <c r="X261" s="16">
        <v>0.2</v>
      </c>
      <c r="Y261" s="21" t="s">
        <v>40</v>
      </c>
      <c r="Z261" s="20">
        <v>6840</v>
      </c>
      <c r="AA261" s="17" t="s">
        <v>40</v>
      </c>
      <c r="AB261" s="22" t="s">
        <v>41</v>
      </c>
      <c r="AC261" s="23" t="str">
        <f t="shared" si="29"/>
        <v>E</v>
      </c>
      <c r="AD261" s="17">
        <v>0</v>
      </c>
      <c r="AE261" s="17">
        <v>0</v>
      </c>
      <c r="AF261" s="17">
        <v>0</v>
      </c>
      <c r="AG261" s="17">
        <v>0</v>
      </c>
      <c r="AH261" s="15" t="s">
        <v>42</v>
      </c>
    </row>
    <row r="262" spans="1:34">
      <c r="A262" s="13" t="str">
        <f t="shared" si="24"/>
        <v>ZeroZero</v>
      </c>
      <c r="B262" s="14" t="s">
        <v>60</v>
      </c>
      <c r="C262" s="15" t="s">
        <v>54</v>
      </c>
      <c r="D262" s="19" t="str">
        <f t="shared" si="25"/>
        <v>前八週無拉料</v>
      </c>
      <c r="E262" s="16" t="str">
        <f t="shared" si="26"/>
        <v>--</v>
      </c>
      <c r="F262" s="16" t="str">
        <f t="shared" si="27"/>
        <v>--</v>
      </c>
      <c r="G262" s="16" t="str">
        <f t="shared" si="28"/>
        <v>--</v>
      </c>
      <c r="H262" s="24" t="str">
        <f>IFERROR(VLOOKUP(B262,#REF!,8,FALSE),"")</f>
        <v/>
      </c>
      <c r="I262" s="17">
        <v>0</v>
      </c>
      <c r="J262" s="17">
        <v>0</v>
      </c>
      <c r="K262" s="24" t="str">
        <f>IFERROR(VLOOKUP(B262,#REF!,11,FALSE),"")</f>
        <v/>
      </c>
      <c r="L262" s="17">
        <v>870</v>
      </c>
      <c r="M262" s="6" t="s">
        <v>746</v>
      </c>
      <c r="N262" s="18" t="str">
        <f>IFERROR(VLOOKUP(B262,#REF!,13,FALSE),"")</f>
        <v/>
      </c>
      <c r="O262" s="19" t="str">
        <f>IFERROR(VLOOKUP(B262,#REF!,14,FALSE),"")</f>
        <v/>
      </c>
      <c r="P262" s="19" t="str">
        <f>IFERROR(VLOOKUP(B262,#REF!,15,FALSE),"")</f>
        <v/>
      </c>
      <c r="Q262" s="19"/>
      <c r="R262" s="25" t="str">
        <f>IFERROR(VLOOKUP(B262,#REF!,16,FALSE),"")</f>
        <v/>
      </c>
      <c r="S262" s="17">
        <v>0</v>
      </c>
      <c r="T262" s="17">
        <v>870</v>
      </c>
      <c r="U262" s="17">
        <v>0</v>
      </c>
      <c r="V262" s="17">
        <v>0</v>
      </c>
      <c r="W262" s="20">
        <v>870</v>
      </c>
      <c r="X262" s="16" t="s">
        <v>40</v>
      </c>
      <c r="Y262" s="21" t="s">
        <v>40</v>
      </c>
      <c r="Z262" s="20">
        <v>0</v>
      </c>
      <c r="AA262" s="17" t="s">
        <v>40</v>
      </c>
      <c r="AB262" s="22" t="s">
        <v>41</v>
      </c>
      <c r="AC262" s="23" t="str">
        <f t="shared" si="29"/>
        <v>E</v>
      </c>
      <c r="AD262" s="17">
        <v>0</v>
      </c>
      <c r="AE262" s="17">
        <v>0</v>
      </c>
      <c r="AF262" s="17">
        <v>0</v>
      </c>
      <c r="AG262" s="17">
        <v>0</v>
      </c>
      <c r="AH262" s="15" t="s">
        <v>42</v>
      </c>
    </row>
    <row r="263" spans="1:34">
      <c r="A263" s="13" t="str">
        <f t="shared" si="24"/>
        <v>Normal</v>
      </c>
      <c r="B263" s="14" t="s">
        <v>61</v>
      </c>
      <c r="C263" s="15" t="s">
        <v>54</v>
      </c>
      <c r="D263" s="19">
        <f t="shared" si="25"/>
        <v>0</v>
      </c>
      <c r="E263" s="16" t="str">
        <f t="shared" si="26"/>
        <v>--</v>
      </c>
      <c r="F263" s="16">
        <f t="shared" si="27"/>
        <v>0</v>
      </c>
      <c r="G263" s="16" t="str">
        <f t="shared" si="28"/>
        <v>--</v>
      </c>
      <c r="H263" s="24" t="str">
        <f>IFERROR(VLOOKUP(B263,#REF!,8,FALSE),"")</f>
        <v/>
      </c>
      <c r="I263" s="17">
        <v>0</v>
      </c>
      <c r="J263" s="17">
        <v>0</v>
      </c>
      <c r="K263" s="24" t="str">
        <f>IFERROR(VLOOKUP(B263,#REF!,11,FALSE),"")</f>
        <v/>
      </c>
      <c r="L263" s="17">
        <v>0</v>
      </c>
      <c r="M263" s="6" t="s">
        <v>746</v>
      </c>
      <c r="N263" s="18" t="str">
        <f>IFERROR(VLOOKUP(B263,#REF!,13,FALSE),"")</f>
        <v/>
      </c>
      <c r="O263" s="19" t="str">
        <f>IFERROR(VLOOKUP(B263,#REF!,14,FALSE),"")</f>
        <v/>
      </c>
      <c r="P263" s="19" t="str">
        <f>IFERROR(VLOOKUP(B263,#REF!,15,FALSE),"")</f>
        <v/>
      </c>
      <c r="Q263" s="19"/>
      <c r="R263" s="25" t="str">
        <f>IFERROR(VLOOKUP(B263,#REF!,16,FALSE),"")</f>
        <v/>
      </c>
      <c r="S263" s="17">
        <v>0</v>
      </c>
      <c r="T263" s="17">
        <v>0</v>
      </c>
      <c r="U263" s="17">
        <v>0</v>
      </c>
      <c r="V263" s="17">
        <v>0</v>
      </c>
      <c r="W263" s="20">
        <v>0</v>
      </c>
      <c r="X263" s="16">
        <v>0</v>
      </c>
      <c r="Y263" s="21" t="s">
        <v>40</v>
      </c>
      <c r="Z263" s="20">
        <v>1263</v>
      </c>
      <c r="AA263" s="17" t="s">
        <v>40</v>
      </c>
      <c r="AB263" s="22" t="s">
        <v>41</v>
      </c>
      <c r="AC263" s="23" t="str">
        <f t="shared" si="29"/>
        <v>E</v>
      </c>
      <c r="AD263" s="17">
        <v>0</v>
      </c>
      <c r="AE263" s="17">
        <v>0</v>
      </c>
      <c r="AF263" s="17">
        <v>0</v>
      </c>
      <c r="AG263" s="17">
        <v>0</v>
      </c>
      <c r="AH263" s="15" t="s">
        <v>42</v>
      </c>
    </row>
    <row r="264" spans="1:34">
      <c r="A264" s="13" t="str">
        <f t="shared" si="24"/>
        <v>Normal</v>
      </c>
      <c r="B264" s="14" t="s">
        <v>62</v>
      </c>
      <c r="C264" s="15" t="s">
        <v>54</v>
      </c>
      <c r="D264" s="19">
        <f t="shared" si="25"/>
        <v>0</v>
      </c>
      <c r="E264" s="16" t="str">
        <f t="shared" si="26"/>
        <v>--</v>
      </c>
      <c r="F264" s="16">
        <f t="shared" si="27"/>
        <v>0</v>
      </c>
      <c r="G264" s="16" t="str">
        <f t="shared" si="28"/>
        <v>--</v>
      </c>
      <c r="H264" s="24" t="str">
        <f>IFERROR(VLOOKUP(B264,#REF!,8,FALSE),"")</f>
        <v/>
      </c>
      <c r="I264" s="17">
        <v>0</v>
      </c>
      <c r="J264" s="17">
        <v>0</v>
      </c>
      <c r="K264" s="24" t="str">
        <f>IFERROR(VLOOKUP(B264,#REF!,11,FALSE),"")</f>
        <v/>
      </c>
      <c r="L264" s="17">
        <v>0</v>
      </c>
      <c r="M264" s="6" t="s">
        <v>746</v>
      </c>
      <c r="N264" s="18" t="str">
        <f>IFERROR(VLOOKUP(B264,#REF!,13,FALSE),"")</f>
        <v/>
      </c>
      <c r="O264" s="19" t="str">
        <f>IFERROR(VLOOKUP(B264,#REF!,14,FALSE),"")</f>
        <v/>
      </c>
      <c r="P264" s="19" t="str">
        <f>IFERROR(VLOOKUP(B264,#REF!,15,FALSE),"")</f>
        <v/>
      </c>
      <c r="Q264" s="19"/>
      <c r="R264" s="25" t="str">
        <f>IFERROR(VLOOKUP(B264,#REF!,16,FALSE),"")</f>
        <v/>
      </c>
      <c r="S264" s="17">
        <v>0</v>
      </c>
      <c r="T264" s="17">
        <v>0</v>
      </c>
      <c r="U264" s="17">
        <v>0</v>
      </c>
      <c r="V264" s="17">
        <v>0</v>
      </c>
      <c r="W264" s="20">
        <v>0</v>
      </c>
      <c r="X264" s="16">
        <v>0</v>
      </c>
      <c r="Y264" s="21" t="s">
        <v>40</v>
      </c>
      <c r="Z264" s="20">
        <v>570</v>
      </c>
      <c r="AA264" s="17" t="s">
        <v>40</v>
      </c>
      <c r="AB264" s="22" t="s">
        <v>41</v>
      </c>
      <c r="AC264" s="23" t="str">
        <f t="shared" si="29"/>
        <v>E</v>
      </c>
      <c r="AD264" s="17">
        <v>0</v>
      </c>
      <c r="AE264" s="17">
        <v>0</v>
      </c>
      <c r="AF264" s="17">
        <v>0</v>
      </c>
      <c r="AG264" s="17">
        <v>0</v>
      </c>
      <c r="AH264" s="15" t="s">
        <v>42</v>
      </c>
    </row>
    <row r="265" spans="1:34">
      <c r="A265" s="13" t="str">
        <f t="shared" si="24"/>
        <v>Normal</v>
      </c>
      <c r="B265" s="14" t="s">
        <v>64</v>
      </c>
      <c r="C265" s="15" t="s">
        <v>46</v>
      </c>
      <c r="D265" s="19">
        <f t="shared" si="25"/>
        <v>14.5</v>
      </c>
      <c r="E265" s="16" t="str">
        <f t="shared" si="26"/>
        <v>--</v>
      </c>
      <c r="F265" s="16">
        <f t="shared" si="27"/>
        <v>0</v>
      </c>
      <c r="G265" s="16" t="str">
        <f t="shared" si="28"/>
        <v>--</v>
      </c>
      <c r="H265" s="24" t="str">
        <f>IFERROR(VLOOKUP(B265,#REF!,8,FALSE),"")</f>
        <v/>
      </c>
      <c r="I265" s="17">
        <v>0</v>
      </c>
      <c r="J265" s="17">
        <v>0</v>
      </c>
      <c r="K265" s="24" t="str">
        <f>IFERROR(VLOOKUP(B265,#REF!,11,FALSE),"")</f>
        <v/>
      </c>
      <c r="L265" s="17">
        <v>177300</v>
      </c>
      <c r="M265" s="6" t="s">
        <v>745</v>
      </c>
      <c r="N265" s="18" t="str">
        <f>IFERROR(VLOOKUP(B265,#REF!,13,FALSE),"")</f>
        <v/>
      </c>
      <c r="O265" s="19" t="str">
        <f>IFERROR(VLOOKUP(B265,#REF!,14,FALSE),"")</f>
        <v/>
      </c>
      <c r="P265" s="19" t="str">
        <f>IFERROR(VLOOKUP(B265,#REF!,15,FALSE),"")</f>
        <v/>
      </c>
      <c r="Q265" s="19"/>
      <c r="R265" s="25" t="str">
        <f>IFERROR(VLOOKUP(B265,#REF!,16,FALSE),"")</f>
        <v/>
      </c>
      <c r="S265" s="17">
        <v>0</v>
      </c>
      <c r="T265" s="17">
        <v>177300</v>
      </c>
      <c r="U265" s="17">
        <v>0</v>
      </c>
      <c r="V265" s="17">
        <v>0</v>
      </c>
      <c r="W265" s="20">
        <v>177300</v>
      </c>
      <c r="X265" s="16">
        <v>14.5</v>
      </c>
      <c r="Y265" s="21" t="s">
        <v>40</v>
      </c>
      <c r="Z265" s="20">
        <v>12188</v>
      </c>
      <c r="AA265" s="17" t="s">
        <v>40</v>
      </c>
      <c r="AB265" s="22" t="s">
        <v>41</v>
      </c>
      <c r="AC265" s="23" t="str">
        <f t="shared" si="29"/>
        <v>E</v>
      </c>
      <c r="AD265" s="17">
        <v>0</v>
      </c>
      <c r="AE265" s="17">
        <v>0</v>
      </c>
      <c r="AF265" s="17">
        <v>0</v>
      </c>
      <c r="AG265" s="17">
        <v>0</v>
      </c>
      <c r="AH265" s="15" t="s">
        <v>42</v>
      </c>
    </row>
    <row r="266" spans="1:34">
      <c r="A266" s="13" t="str">
        <f t="shared" si="24"/>
        <v>OverStock</v>
      </c>
      <c r="B266" s="14" t="s">
        <v>65</v>
      </c>
      <c r="C266" s="15" t="s">
        <v>54</v>
      </c>
      <c r="D266" s="19">
        <f t="shared" si="25"/>
        <v>0</v>
      </c>
      <c r="E266" s="16" t="str">
        <f t="shared" si="26"/>
        <v>--</v>
      </c>
      <c r="F266" s="16">
        <f t="shared" si="27"/>
        <v>24.6</v>
      </c>
      <c r="G266" s="16" t="str">
        <f t="shared" si="28"/>
        <v>--</v>
      </c>
      <c r="H266" s="24" t="str">
        <f>IFERROR(VLOOKUP(B266,#REF!,8,FALSE),"")</f>
        <v/>
      </c>
      <c r="I266" s="17">
        <v>40000</v>
      </c>
      <c r="J266" s="17">
        <v>40000</v>
      </c>
      <c r="K266" s="24" t="str">
        <f>IFERROR(VLOOKUP(B266,#REF!,11,FALSE),"")</f>
        <v/>
      </c>
      <c r="L266" s="17">
        <v>0</v>
      </c>
      <c r="M266" s="6" t="s">
        <v>746</v>
      </c>
      <c r="N266" s="18" t="str">
        <f>IFERROR(VLOOKUP(B266,#REF!,13,FALSE),"")</f>
        <v/>
      </c>
      <c r="O266" s="19" t="str">
        <f>IFERROR(VLOOKUP(B266,#REF!,14,FALSE),"")</f>
        <v/>
      </c>
      <c r="P266" s="19" t="str">
        <f>IFERROR(VLOOKUP(B266,#REF!,15,FALSE),"")</f>
        <v/>
      </c>
      <c r="Q266" s="19"/>
      <c r="R266" s="25" t="str">
        <f>IFERROR(VLOOKUP(B266,#REF!,16,FALSE),"")</f>
        <v/>
      </c>
      <c r="S266" s="17">
        <v>0</v>
      </c>
      <c r="T266" s="17">
        <v>0</v>
      </c>
      <c r="U266" s="17">
        <v>0</v>
      </c>
      <c r="V266" s="17">
        <v>0</v>
      </c>
      <c r="W266" s="20">
        <v>40000</v>
      </c>
      <c r="X266" s="16">
        <v>24.6</v>
      </c>
      <c r="Y266" s="21" t="s">
        <v>40</v>
      </c>
      <c r="Z266" s="20">
        <v>1625</v>
      </c>
      <c r="AA266" s="17" t="s">
        <v>40</v>
      </c>
      <c r="AB266" s="22" t="s">
        <v>41</v>
      </c>
      <c r="AC266" s="23" t="str">
        <f t="shared" si="29"/>
        <v>E</v>
      </c>
      <c r="AD266" s="17">
        <v>0</v>
      </c>
      <c r="AE266" s="17">
        <v>0</v>
      </c>
      <c r="AF266" s="17">
        <v>0</v>
      </c>
      <c r="AG266" s="17">
        <v>0</v>
      </c>
      <c r="AH266" s="15" t="s">
        <v>42</v>
      </c>
    </row>
    <row r="267" spans="1:34">
      <c r="A267" s="13" t="str">
        <f t="shared" si="24"/>
        <v>ZeroZero</v>
      </c>
      <c r="B267" s="14" t="s">
        <v>67</v>
      </c>
      <c r="C267" s="15" t="s">
        <v>54</v>
      </c>
      <c r="D267" s="19" t="str">
        <f t="shared" si="25"/>
        <v>前八週無拉料</v>
      </c>
      <c r="E267" s="16" t="str">
        <f t="shared" si="26"/>
        <v>--</v>
      </c>
      <c r="F267" s="16" t="str">
        <f t="shared" si="27"/>
        <v>--</v>
      </c>
      <c r="G267" s="16" t="str">
        <f t="shared" si="28"/>
        <v>--</v>
      </c>
      <c r="H267" s="24" t="str">
        <f>IFERROR(VLOOKUP(B267,#REF!,8,FALSE),"")</f>
        <v/>
      </c>
      <c r="I267" s="17">
        <v>30</v>
      </c>
      <c r="J267" s="17">
        <v>30</v>
      </c>
      <c r="K267" s="24" t="str">
        <f>IFERROR(VLOOKUP(B267,#REF!,11,FALSE),"")</f>
        <v/>
      </c>
      <c r="L267" s="17">
        <v>0</v>
      </c>
      <c r="M267" s="6" t="s">
        <v>746</v>
      </c>
      <c r="N267" s="18" t="str">
        <f>IFERROR(VLOOKUP(B267,#REF!,13,FALSE),"")</f>
        <v/>
      </c>
      <c r="O267" s="19" t="str">
        <f>IFERROR(VLOOKUP(B267,#REF!,14,FALSE),"")</f>
        <v/>
      </c>
      <c r="P267" s="19" t="str">
        <f>IFERROR(VLOOKUP(B267,#REF!,15,FALSE),"")</f>
        <v/>
      </c>
      <c r="Q267" s="19"/>
      <c r="R267" s="25" t="str">
        <f>IFERROR(VLOOKUP(B267,#REF!,16,FALSE),"")</f>
        <v/>
      </c>
      <c r="S267" s="17">
        <v>0</v>
      </c>
      <c r="T267" s="17">
        <v>0</v>
      </c>
      <c r="U267" s="17">
        <v>0</v>
      </c>
      <c r="V267" s="17">
        <v>0</v>
      </c>
      <c r="W267" s="20">
        <v>30</v>
      </c>
      <c r="X267" s="16" t="s">
        <v>40</v>
      </c>
      <c r="Y267" s="21" t="s">
        <v>40</v>
      </c>
      <c r="Z267" s="20">
        <v>0</v>
      </c>
      <c r="AA267" s="17" t="s">
        <v>40</v>
      </c>
      <c r="AB267" s="22" t="s">
        <v>41</v>
      </c>
      <c r="AC267" s="23" t="str">
        <f t="shared" si="29"/>
        <v>E</v>
      </c>
      <c r="AD267" s="17">
        <v>0</v>
      </c>
      <c r="AE267" s="17">
        <v>0</v>
      </c>
      <c r="AF267" s="17">
        <v>0</v>
      </c>
      <c r="AG267" s="17">
        <v>0</v>
      </c>
      <c r="AH267" s="15" t="s">
        <v>42</v>
      </c>
    </row>
    <row r="268" spans="1:34">
      <c r="A268" s="13" t="str">
        <f t="shared" si="24"/>
        <v>Normal</v>
      </c>
      <c r="B268" s="14" t="s">
        <v>68</v>
      </c>
      <c r="C268" s="15" t="s">
        <v>54</v>
      </c>
      <c r="D268" s="19">
        <f t="shared" si="25"/>
        <v>0</v>
      </c>
      <c r="E268" s="16" t="str">
        <f t="shared" si="26"/>
        <v>--</v>
      </c>
      <c r="F268" s="16">
        <f t="shared" si="27"/>
        <v>14.6</v>
      </c>
      <c r="G268" s="16" t="str">
        <f t="shared" si="28"/>
        <v>--</v>
      </c>
      <c r="H268" s="24" t="str">
        <f>IFERROR(VLOOKUP(B268,#REF!,8,FALSE),"")</f>
        <v/>
      </c>
      <c r="I268" s="17">
        <v>6045</v>
      </c>
      <c r="J268" s="17">
        <v>6045</v>
      </c>
      <c r="K268" s="24" t="str">
        <f>IFERROR(VLOOKUP(B268,#REF!,11,FALSE),"")</f>
        <v/>
      </c>
      <c r="L268" s="17">
        <v>0</v>
      </c>
      <c r="M268" s="6" t="s">
        <v>746</v>
      </c>
      <c r="N268" s="18" t="str">
        <f>IFERROR(VLOOKUP(B268,#REF!,13,FALSE),"")</f>
        <v/>
      </c>
      <c r="O268" s="19" t="str">
        <f>IFERROR(VLOOKUP(B268,#REF!,14,FALSE),"")</f>
        <v/>
      </c>
      <c r="P268" s="19" t="str">
        <f>IFERROR(VLOOKUP(B268,#REF!,15,FALSE),"")</f>
        <v/>
      </c>
      <c r="Q268" s="19"/>
      <c r="R268" s="25" t="str">
        <f>IFERROR(VLOOKUP(B268,#REF!,16,FALSE),"")</f>
        <v/>
      </c>
      <c r="S268" s="17">
        <v>0</v>
      </c>
      <c r="T268" s="17">
        <v>0</v>
      </c>
      <c r="U268" s="17">
        <v>0</v>
      </c>
      <c r="V268" s="17">
        <v>0</v>
      </c>
      <c r="W268" s="20">
        <v>6045</v>
      </c>
      <c r="X268" s="16">
        <v>14.6</v>
      </c>
      <c r="Y268" s="21" t="s">
        <v>40</v>
      </c>
      <c r="Z268" s="20">
        <v>413</v>
      </c>
      <c r="AA268" s="17" t="s">
        <v>40</v>
      </c>
      <c r="AB268" s="22" t="s">
        <v>41</v>
      </c>
      <c r="AC268" s="23" t="str">
        <f t="shared" si="29"/>
        <v>E</v>
      </c>
      <c r="AD268" s="17">
        <v>0</v>
      </c>
      <c r="AE268" s="17">
        <v>0</v>
      </c>
      <c r="AF268" s="17">
        <v>0</v>
      </c>
      <c r="AG268" s="17">
        <v>0</v>
      </c>
      <c r="AH268" s="15" t="s">
        <v>42</v>
      </c>
    </row>
    <row r="269" spans="1:34">
      <c r="A269" s="13" t="str">
        <f t="shared" si="24"/>
        <v>ZeroZero</v>
      </c>
      <c r="B269" s="14" t="s">
        <v>69</v>
      </c>
      <c r="C269" s="15" t="s">
        <v>54</v>
      </c>
      <c r="D269" s="19" t="str">
        <f t="shared" si="25"/>
        <v>前八週無拉料</v>
      </c>
      <c r="E269" s="16" t="str">
        <f t="shared" si="26"/>
        <v>--</v>
      </c>
      <c r="F269" s="16" t="str">
        <f t="shared" si="27"/>
        <v>--</v>
      </c>
      <c r="G269" s="16" t="str">
        <f t="shared" si="28"/>
        <v>--</v>
      </c>
      <c r="H269" s="24" t="str">
        <f>IFERROR(VLOOKUP(B269,#REF!,8,FALSE),"")</f>
        <v/>
      </c>
      <c r="I269" s="17">
        <v>1006</v>
      </c>
      <c r="J269" s="17">
        <v>1006</v>
      </c>
      <c r="K269" s="24" t="str">
        <f>IFERROR(VLOOKUP(B269,#REF!,11,FALSE),"")</f>
        <v/>
      </c>
      <c r="L269" s="17">
        <v>0</v>
      </c>
      <c r="M269" s="6" t="s">
        <v>746</v>
      </c>
      <c r="N269" s="18" t="str">
        <f>IFERROR(VLOOKUP(B269,#REF!,13,FALSE),"")</f>
        <v/>
      </c>
      <c r="O269" s="19" t="str">
        <f>IFERROR(VLOOKUP(B269,#REF!,14,FALSE),"")</f>
        <v/>
      </c>
      <c r="P269" s="19" t="str">
        <f>IFERROR(VLOOKUP(B269,#REF!,15,FALSE),"")</f>
        <v/>
      </c>
      <c r="Q269" s="19"/>
      <c r="R269" s="25" t="str">
        <f>IFERROR(VLOOKUP(B269,#REF!,16,FALSE),"")</f>
        <v/>
      </c>
      <c r="S269" s="17">
        <v>0</v>
      </c>
      <c r="T269" s="17">
        <v>0</v>
      </c>
      <c r="U269" s="17">
        <v>0</v>
      </c>
      <c r="V269" s="17">
        <v>0</v>
      </c>
      <c r="W269" s="20">
        <v>1006</v>
      </c>
      <c r="X269" s="16" t="s">
        <v>40</v>
      </c>
      <c r="Y269" s="21" t="s">
        <v>40</v>
      </c>
      <c r="Z269" s="20">
        <v>0</v>
      </c>
      <c r="AA269" s="17" t="s">
        <v>40</v>
      </c>
      <c r="AB269" s="22" t="s">
        <v>41</v>
      </c>
      <c r="AC269" s="23" t="str">
        <f t="shared" si="29"/>
        <v>E</v>
      </c>
      <c r="AD269" s="17">
        <v>0</v>
      </c>
      <c r="AE269" s="17">
        <v>0</v>
      </c>
      <c r="AF269" s="17">
        <v>0</v>
      </c>
      <c r="AG269" s="17">
        <v>0</v>
      </c>
      <c r="AH269" s="15" t="s">
        <v>42</v>
      </c>
    </row>
    <row r="270" spans="1:34">
      <c r="A270" s="13" t="str">
        <f t="shared" si="24"/>
        <v>Normal</v>
      </c>
      <c r="B270" s="14" t="s">
        <v>70</v>
      </c>
      <c r="C270" s="15" t="s">
        <v>46</v>
      </c>
      <c r="D270" s="19">
        <f t="shared" si="25"/>
        <v>4.7</v>
      </c>
      <c r="E270" s="16">
        <f t="shared" si="26"/>
        <v>5.5</v>
      </c>
      <c r="F270" s="16">
        <f t="shared" si="27"/>
        <v>9.8000000000000007</v>
      </c>
      <c r="G270" s="16">
        <f t="shared" si="28"/>
        <v>11.3</v>
      </c>
      <c r="H270" s="24" t="str">
        <f>IFERROR(VLOOKUP(B270,#REF!,8,FALSE),"")</f>
        <v/>
      </c>
      <c r="I270" s="17">
        <v>650000</v>
      </c>
      <c r="J270" s="17">
        <v>450000</v>
      </c>
      <c r="K270" s="24" t="str">
        <f>IFERROR(VLOOKUP(B270,#REF!,11,FALSE),"")</f>
        <v/>
      </c>
      <c r="L270" s="17">
        <v>314153</v>
      </c>
      <c r="M270" s="6" t="s">
        <v>745</v>
      </c>
      <c r="N270" s="18" t="str">
        <f>IFERROR(VLOOKUP(B270,#REF!,13,FALSE),"")</f>
        <v/>
      </c>
      <c r="O270" s="19" t="str">
        <f>IFERROR(VLOOKUP(B270,#REF!,14,FALSE),"")</f>
        <v/>
      </c>
      <c r="P270" s="19" t="str">
        <f>IFERROR(VLOOKUP(B270,#REF!,15,FALSE),"")</f>
        <v/>
      </c>
      <c r="Q270" s="19"/>
      <c r="R270" s="25" t="str">
        <f>IFERROR(VLOOKUP(B270,#REF!,16,FALSE),"")</f>
        <v/>
      </c>
      <c r="S270" s="17">
        <v>0</v>
      </c>
      <c r="T270" s="17">
        <v>314153</v>
      </c>
      <c r="U270" s="17">
        <v>0</v>
      </c>
      <c r="V270" s="17">
        <v>0</v>
      </c>
      <c r="W270" s="20">
        <v>964153</v>
      </c>
      <c r="X270" s="16">
        <v>14.5</v>
      </c>
      <c r="Y270" s="21">
        <v>16.8</v>
      </c>
      <c r="Z270" s="20">
        <v>66293</v>
      </c>
      <c r="AA270" s="17">
        <v>57500</v>
      </c>
      <c r="AB270" s="22">
        <v>0.9</v>
      </c>
      <c r="AC270" s="23">
        <f t="shared" si="29"/>
        <v>100</v>
      </c>
      <c r="AD270" s="17">
        <v>0</v>
      </c>
      <c r="AE270" s="17">
        <v>272500</v>
      </c>
      <c r="AF270" s="17">
        <v>337500</v>
      </c>
      <c r="AG270" s="17">
        <v>165000</v>
      </c>
      <c r="AH270" s="15" t="s">
        <v>42</v>
      </c>
    </row>
    <row r="271" spans="1:34">
      <c r="A271" s="13" t="str">
        <f t="shared" si="24"/>
        <v>OverStock</v>
      </c>
      <c r="B271" s="14" t="s">
        <v>72</v>
      </c>
      <c r="C271" s="15" t="s">
        <v>46</v>
      </c>
      <c r="D271" s="19">
        <f t="shared" si="25"/>
        <v>4</v>
      </c>
      <c r="E271" s="16">
        <f t="shared" si="26"/>
        <v>3.9</v>
      </c>
      <c r="F271" s="16">
        <f t="shared" si="27"/>
        <v>17.3</v>
      </c>
      <c r="G271" s="16">
        <f t="shared" si="28"/>
        <v>16.7</v>
      </c>
      <c r="H271" s="24" t="str">
        <f>IFERROR(VLOOKUP(B271,#REF!,8,FALSE),"")</f>
        <v/>
      </c>
      <c r="I271" s="17">
        <v>65000</v>
      </c>
      <c r="J271" s="17">
        <v>15000</v>
      </c>
      <c r="K271" s="24" t="str">
        <f>IFERROR(VLOOKUP(B271,#REF!,11,FALSE),"")</f>
        <v/>
      </c>
      <c r="L271" s="17">
        <v>15000</v>
      </c>
      <c r="M271" s="6" t="s">
        <v>745</v>
      </c>
      <c r="N271" s="18" t="str">
        <f>IFERROR(VLOOKUP(B271,#REF!,13,FALSE),"")</f>
        <v/>
      </c>
      <c r="O271" s="19" t="str">
        <f>IFERROR(VLOOKUP(B271,#REF!,14,FALSE),"")</f>
        <v/>
      </c>
      <c r="P271" s="19" t="str">
        <f>IFERROR(VLOOKUP(B271,#REF!,15,FALSE),"")</f>
        <v/>
      </c>
      <c r="Q271" s="19"/>
      <c r="R271" s="25" t="str">
        <f>IFERROR(VLOOKUP(B271,#REF!,16,FALSE),"")</f>
        <v/>
      </c>
      <c r="S271" s="17">
        <v>0</v>
      </c>
      <c r="T271" s="17">
        <v>15000</v>
      </c>
      <c r="U271" s="17">
        <v>0</v>
      </c>
      <c r="V271" s="17">
        <v>0</v>
      </c>
      <c r="W271" s="20">
        <v>80000</v>
      </c>
      <c r="X271" s="16">
        <v>21.3</v>
      </c>
      <c r="Y271" s="21">
        <v>20.6</v>
      </c>
      <c r="Z271" s="20">
        <v>3750</v>
      </c>
      <c r="AA271" s="17">
        <v>3889</v>
      </c>
      <c r="AB271" s="22">
        <v>1</v>
      </c>
      <c r="AC271" s="23">
        <f t="shared" si="29"/>
        <v>100</v>
      </c>
      <c r="AD271" s="17">
        <v>0</v>
      </c>
      <c r="AE271" s="17">
        <v>20000</v>
      </c>
      <c r="AF271" s="17">
        <v>20000</v>
      </c>
      <c r="AG271" s="17">
        <v>0</v>
      </c>
      <c r="AH271" s="15" t="s">
        <v>42</v>
      </c>
    </row>
    <row r="272" spans="1:34">
      <c r="A272" s="13" t="str">
        <f t="shared" si="24"/>
        <v>OverStock</v>
      </c>
      <c r="B272" s="14" t="s">
        <v>73</v>
      </c>
      <c r="C272" s="15" t="s">
        <v>46</v>
      </c>
      <c r="D272" s="19">
        <f t="shared" si="25"/>
        <v>3.8</v>
      </c>
      <c r="E272" s="16">
        <f t="shared" si="26"/>
        <v>6.1</v>
      </c>
      <c r="F272" s="16">
        <f t="shared" si="27"/>
        <v>12.6</v>
      </c>
      <c r="G272" s="16">
        <f t="shared" si="28"/>
        <v>20.2</v>
      </c>
      <c r="H272" s="24" t="str">
        <f>IFERROR(VLOOKUP(B272,#REF!,8,FALSE),"")</f>
        <v/>
      </c>
      <c r="I272" s="17">
        <v>1755000</v>
      </c>
      <c r="J272" s="17">
        <v>402000</v>
      </c>
      <c r="K272" s="24" t="str">
        <f>IFERROR(VLOOKUP(B272,#REF!,11,FALSE),"")</f>
        <v/>
      </c>
      <c r="L272" s="17">
        <v>532000</v>
      </c>
      <c r="M272" s="6" t="s">
        <v>745</v>
      </c>
      <c r="N272" s="18" t="str">
        <f>IFERROR(VLOOKUP(B272,#REF!,13,FALSE),"")</f>
        <v/>
      </c>
      <c r="O272" s="19" t="str">
        <f>IFERROR(VLOOKUP(B272,#REF!,14,FALSE),"")</f>
        <v/>
      </c>
      <c r="P272" s="19" t="str">
        <f>IFERROR(VLOOKUP(B272,#REF!,15,FALSE),"")</f>
        <v/>
      </c>
      <c r="Q272" s="19"/>
      <c r="R272" s="25" t="str">
        <f>IFERROR(VLOOKUP(B272,#REF!,16,FALSE),"")</f>
        <v/>
      </c>
      <c r="S272" s="17">
        <v>0</v>
      </c>
      <c r="T272" s="17">
        <v>532000</v>
      </c>
      <c r="U272" s="17">
        <v>0</v>
      </c>
      <c r="V272" s="17">
        <v>0</v>
      </c>
      <c r="W272" s="20">
        <v>2287000</v>
      </c>
      <c r="X272" s="16">
        <v>16.399999999999999</v>
      </c>
      <c r="Y272" s="21">
        <v>26.4</v>
      </c>
      <c r="Z272" s="20">
        <v>139125</v>
      </c>
      <c r="AA272" s="17">
        <v>86667</v>
      </c>
      <c r="AB272" s="22">
        <v>0.6</v>
      </c>
      <c r="AC272" s="23">
        <f t="shared" si="29"/>
        <v>100</v>
      </c>
      <c r="AD272" s="17">
        <v>3000</v>
      </c>
      <c r="AE272" s="17">
        <v>480000</v>
      </c>
      <c r="AF272" s="17">
        <v>339000</v>
      </c>
      <c r="AG272" s="17">
        <v>285000</v>
      </c>
      <c r="AH272" s="15" t="s">
        <v>42</v>
      </c>
    </row>
    <row r="273" spans="1:34">
      <c r="A273" s="13" t="str">
        <f t="shared" si="24"/>
        <v>OverStock</v>
      </c>
      <c r="B273" s="14" t="s">
        <v>74</v>
      </c>
      <c r="C273" s="15" t="s">
        <v>46</v>
      </c>
      <c r="D273" s="19">
        <f t="shared" si="25"/>
        <v>3.3</v>
      </c>
      <c r="E273" s="16">
        <f t="shared" si="26"/>
        <v>3.4</v>
      </c>
      <c r="F273" s="16">
        <f t="shared" si="27"/>
        <v>25</v>
      </c>
      <c r="G273" s="16">
        <f t="shared" si="28"/>
        <v>26.2</v>
      </c>
      <c r="H273" s="24" t="str">
        <f>IFERROR(VLOOKUP(B273,#REF!,8,FALSE),"")</f>
        <v/>
      </c>
      <c r="I273" s="17">
        <v>10830000</v>
      </c>
      <c r="J273" s="17">
        <v>2610000</v>
      </c>
      <c r="K273" s="24" t="str">
        <f>IFERROR(VLOOKUP(B273,#REF!,11,FALSE),"")</f>
        <v/>
      </c>
      <c r="L273" s="17">
        <v>1420250</v>
      </c>
      <c r="M273" s="6" t="s">
        <v>745</v>
      </c>
      <c r="N273" s="18" t="str">
        <f>IFERROR(VLOOKUP(B273,#REF!,13,FALSE),"")</f>
        <v/>
      </c>
      <c r="O273" s="19" t="str">
        <f>IFERROR(VLOOKUP(B273,#REF!,14,FALSE),"")</f>
        <v/>
      </c>
      <c r="P273" s="19" t="str">
        <f>IFERROR(VLOOKUP(B273,#REF!,15,FALSE),"")</f>
        <v/>
      </c>
      <c r="Q273" s="19"/>
      <c r="R273" s="25" t="str">
        <f>IFERROR(VLOOKUP(B273,#REF!,16,FALSE),"")</f>
        <v/>
      </c>
      <c r="S273" s="17">
        <v>0</v>
      </c>
      <c r="T273" s="17">
        <v>1420250</v>
      </c>
      <c r="U273" s="17">
        <v>0</v>
      </c>
      <c r="V273" s="17">
        <v>0</v>
      </c>
      <c r="W273" s="20">
        <v>12250250</v>
      </c>
      <c r="X273" s="16">
        <v>28.3</v>
      </c>
      <c r="Y273" s="21">
        <v>29.6</v>
      </c>
      <c r="Z273" s="20">
        <v>432375</v>
      </c>
      <c r="AA273" s="17">
        <v>414000</v>
      </c>
      <c r="AB273" s="22">
        <v>1</v>
      </c>
      <c r="AC273" s="23">
        <f t="shared" si="29"/>
        <v>100</v>
      </c>
      <c r="AD273" s="17">
        <v>3000</v>
      </c>
      <c r="AE273" s="17">
        <v>2736000</v>
      </c>
      <c r="AF273" s="17">
        <v>1671000</v>
      </c>
      <c r="AG273" s="17">
        <v>1875000</v>
      </c>
      <c r="AH273" s="15" t="s">
        <v>42</v>
      </c>
    </row>
    <row r="274" spans="1:34">
      <c r="A274" s="13" t="str">
        <f t="shared" si="24"/>
        <v>Normal</v>
      </c>
      <c r="B274" s="14" t="s">
        <v>75</v>
      </c>
      <c r="C274" s="15" t="s">
        <v>46</v>
      </c>
      <c r="D274" s="19">
        <f t="shared" si="25"/>
        <v>6.4</v>
      </c>
      <c r="E274" s="16">
        <f t="shared" si="26"/>
        <v>6.8</v>
      </c>
      <c r="F274" s="16">
        <f t="shared" si="27"/>
        <v>9.5</v>
      </c>
      <c r="G274" s="16">
        <f t="shared" si="28"/>
        <v>10</v>
      </c>
      <c r="H274" s="24" t="str">
        <f>IFERROR(VLOOKUP(B274,#REF!,8,FALSE),"")</f>
        <v/>
      </c>
      <c r="I274" s="17">
        <v>1800000</v>
      </c>
      <c r="J274" s="17">
        <v>900000</v>
      </c>
      <c r="K274" s="24" t="str">
        <f>IFERROR(VLOOKUP(B274,#REF!,11,FALSE),"")</f>
        <v/>
      </c>
      <c r="L274" s="17">
        <v>1215000</v>
      </c>
      <c r="M274" s="6" t="s">
        <v>745</v>
      </c>
      <c r="N274" s="18" t="str">
        <f>IFERROR(VLOOKUP(B274,#REF!,13,FALSE),"")</f>
        <v/>
      </c>
      <c r="O274" s="19" t="str">
        <f>IFERROR(VLOOKUP(B274,#REF!,14,FALSE),"")</f>
        <v/>
      </c>
      <c r="P274" s="19" t="str">
        <f>IFERROR(VLOOKUP(B274,#REF!,15,FALSE),"")</f>
        <v/>
      </c>
      <c r="Q274" s="19"/>
      <c r="R274" s="25" t="str">
        <f>IFERROR(VLOOKUP(B274,#REF!,16,FALSE),"")</f>
        <v/>
      </c>
      <c r="S274" s="17">
        <v>0</v>
      </c>
      <c r="T274" s="17">
        <v>1215000</v>
      </c>
      <c r="U274" s="17">
        <v>0</v>
      </c>
      <c r="V274" s="17">
        <v>0</v>
      </c>
      <c r="W274" s="20">
        <v>3015000</v>
      </c>
      <c r="X274" s="16">
        <v>16</v>
      </c>
      <c r="Y274" s="21">
        <v>16.8</v>
      </c>
      <c r="Z274" s="20">
        <v>188625</v>
      </c>
      <c r="AA274" s="17">
        <v>179333</v>
      </c>
      <c r="AB274" s="22">
        <v>1</v>
      </c>
      <c r="AC274" s="23">
        <f t="shared" si="29"/>
        <v>100</v>
      </c>
      <c r="AD274" s="17">
        <v>0</v>
      </c>
      <c r="AE274" s="17">
        <v>687000</v>
      </c>
      <c r="AF274" s="17">
        <v>1212000</v>
      </c>
      <c r="AG274" s="17">
        <v>531000</v>
      </c>
      <c r="AH274" s="15" t="s">
        <v>42</v>
      </c>
    </row>
    <row r="275" spans="1:34">
      <c r="A275" s="13" t="str">
        <f t="shared" si="24"/>
        <v>OverStock</v>
      </c>
      <c r="B275" s="14" t="s">
        <v>76</v>
      </c>
      <c r="C275" s="15" t="s">
        <v>46</v>
      </c>
      <c r="D275" s="19">
        <f t="shared" si="25"/>
        <v>3.8</v>
      </c>
      <c r="E275" s="16">
        <f t="shared" si="26"/>
        <v>3.4</v>
      </c>
      <c r="F275" s="16">
        <f t="shared" si="27"/>
        <v>17.600000000000001</v>
      </c>
      <c r="G275" s="16">
        <f t="shared" si="28"/>
        <v>15.6</v>
      </c>
      <c r="H275" s="24" t="str">
        <f>IFERROR(VLOOKUP(B275,#REF!,8,FALSE),"")</f>
        <v/>
      </c>
      <c r="I275" s="17">
        <v>6900000</v>
      </c>
      <c r="J275" s="17">
        <v>3300000</v>
      </c>
      <c r="K275" s="24" t="str">
        <f>IFERROR(VLOOKUP(B275,#REF!,11,FALSE),"")</f>
        <v/>
      </c>
      <c r="L275" s="17">
        <v>1491000</v>
      </c>
      <c r="M275" s="6" t="s">
        <v>745</v>
      </c>
      <c r="N275" s="18" t="str">
        <f>IFERROR(VLOOKUP(B275,#REF!,13,FALSE),"")</f>
        <v/>
      </c>
      <c r="O275" s="19" t="str">
        <f>IFERROR(VLOOKUP(B275,#REF!,14,FALSE),"")</f>
        <v/>
      </c>
      <c r="P275" s="19" t="str">
        <f>IFERROR(VLOOKUP(B275,#REF!,15,FALSE),"")</f>
        <v/>
      </c>
      <c r="Q275" s="19"/>
      <c r="R275" s="25" t="str">
        <f>IFERROR(VLOOKUP(B275,#REF!,16,FALSE),"")</f>
        <v/>
      </c>
      <c r="S275" s="17">
        <v>0</v>
      </c>
      <c r="T275" s="17">
        <v>1491000</v>
      </c>
      <c r="U275" s="17">
        <v>0</v>
      </c>
      <c r="V275" s="17">
        <v>0</v>
      </c>
      <c r="W275" s="20">
        <v>8391000</v>
      </c>
      <c r="X275" s="16">
        <v>21.4</v>
      </c>
      <c r="Y275" s="21">
        <v>18.899999999999999</v>
      </c>
      <c r="Z275" s="20">
        <v>391500</v>
      </c>
      <c r="AA275" s="17">
        <v>443333</v>
      </c>
      <c r="AB275" s="22">
        <v>1.1000000000000001</v>
      </c>
      <c r="AC275" s="23">
        <f t="shared" si="29"/>
        <v>100</v>
      </c>
      <c r="AD275" s="17">
        <v>84000</v>
      </c>
      <c r="AE275" s="17">
        <v>2343000</v>
      </c>
      <c r="AF275" s="17">
        <v>2238000</v>
      </c>
      <c r="AG275" s="17">
        <v>1482000</v>
      </c>
      <c r="AH275" s="15" t="s">
        <v>42</v>
      </c>
    </row>
    <row r="276" spans="1:34">
      <c r="A276" s="13" t="str">
        <f t="shared" si="24"/>
        <v>OverStock</v>
      </c>
      <c r="B276" s="14" t="s">
        <v>78</v>
      </c>
      <c r="C276" s="15" t="s">
        <v>46</v>
      </c>
      <c r="D276" s="19">
        <f t="shared" si="25"/>
        <v>264</v>
      </c>
      <c r="E276" s="16">
        <f t="shared" si="26"/>
        <v>6.9</v>
      </c>
      <c r="F276" s="16">
        <f t="shared" si="27"/>
        <v>160</v>
      </c>
      <c r="G276" s="16">
        <f t="shared" si="28"/>
        <v>4.2</v>
      </c>
      <c r="H276" s="24" t="str">
        <f>IFERROR(VLOOKUP(B276,#REF!,8,FALSE),"")</f>
        <v/>
      </c>
      <c r="I276" s="17">
        <v>60000</v>
      </c>
      <c r="J276" s="17">
        <v>30000</v>
      </c>
      <c r="K276" s="24" t="str">
        <f>IFERROR(VLOOKUP(B276,#REF!,11,FALSE),"")</f>
        <v/>
      </c>
      <c r="L276" s="17">
        <v>99000</v>
      </c>
      <c r="M276" s="6" t="s">
        <v>745</v>
      </c>
      <c r="N276" s="18" t="str">
        <f>IFERROR(VLOOKUP(B276,#REF!,13,FALSE),"")</f>
        <v/>
      </c>
      <c r="O276" s="19" t="str">
        <f>IFERROR(VLOOKUP(B276,#REF!,14,FALSE),"")</f>
        <v/>
      </c>
      <c r="P276" s="19" t="str">
        <f>IFERROR(VLOOKUP(B276,#REF!,15,FALSE),"")</f>
        <v/>
      </c>
      <c r="Q276" s="19"/>
      <c r="R276" s="25" t="str">
        <f>IFERROR(VLOOKUP(B276,#REF!,16,FALSE),"")</f>
        <v/>
      </c>
      <c r="S276" s="17">
        <v>0</v>
      </c>
      <c r="T276" s="17">
        <v>99000</v>
      </c>
      <c r="U276" s="17">
        <v>0</v>
      </c>
      <c r="V276" s="17">
        <v>0</v>
      </c>
      <c r="W276" s="20">
        <v>159000</v>
      </c>
      <c r="X276" s="16">
        <v>424</v>
      </c>
      <c r="Y276" s="21">
        <v>11.1</v>
      </c>
      <c r="Z276" s="20">
        <v>375</v>
      </c>
      <c r="AA276" s="17">
        <v>14333</v>
      </c>
      <c r="AB276" s="22">
        <v>38.200000000000003</v>
      </c>
      <c r="AC276" s="23">
        <f t="shared" si="29"/>
        <v>150</v>
      </c>
      <c r="AD276" s="17">
        <v>0</v>
      </c>
      <c r="AE276" s="17">
        <v>129000</v>
      </c>
      <c r="AF276" s="17">
        <v>0</v>
      </c>
      <c r="AG276" s="17">
        <v>0</v>
      </c>
      <c r="AH276" s="15" t="s">
        <v>42</v>
      </c>
    </row>
    <row r="277" spans="1:34">
      <c r="A277" s="13" t="str">
        <f t="shared" si="24"/>
        <v>OverStock</v>
      </c>
      <c r="B277" s="14" t="s">
        <v>79</v>
      </c>
      <c r="C277" s="15" t="s">
        <v>46</v>
      </c>
      <c r="D277" s="19">
        <f t="shared" si="25"/>
        <v>0</v>
      </c>
      <c r="E277" s="16">
        <f t="shared" si="26"/>
        <v>0</v>
      </c>
      <c r="F277" s="16">
        <f t="shared" si="27"/>
        <v>31.1</v>
      </c>
      <c r="G277" s="16">
        <f t="shared" si="28"/>
        <v>24.2</v>
      </c>
      <c r="H277" s="24" t="str">
        <f>IFERROR(VLOOKUP(B277,#REF!,8,FALSE),"")</f>
        <v/>
      </c>
      <c r="I277" s="17">
        <v>630000</v>
      </c>
      <c r="J277" s="17">
        <v>150000</v>
      </c>
      <c r="K277" s="24" t="str">
        <f>IFERROR(VLOOKUP(B277,#REF!,11,FALSE),"")</f>
        <v/>
      </c>
      <c r="L277" s="17">
        <v>0</v>
      </c>
      <c r="M277" s="6" t="s">
        <v>745</v>
      </c>
      <c r="N277" s="18" t="str">
        <f>IFERROR(VLOOKUP(B277,#REF!,13,FALSE),"")</f>
        <v/>
      </c>
      <c r="O277" s="19" t="str">
        <f>IFERROR(VLOOKUP(B277,#REF!,14,FALSE),"")</f>
        <v/>
      </c>
      <c r="P277" s="19" t="str">
        <f>IFERROR(VLOOKUP(B277,#REF!,15,FALSE),"")</f>
        <v/>
      </c>
      <c r="Q277" s="19"/>
      <c r="R277" s="25" t="str">
        <f>IFERROR(VLOOKUP(B277,#REF!,16,FALSE),"")</f>
        <v/>
      </c>
      <c r="S277" s="17">
        <v>0</v>
      </c>
      <c r="T277" s="17">
        <v>0</v>
      </c>
      <c r="U277" s="17">
        <v>0</v>
      </c>
      <c r="V277" s="17">
        <v>0</v>
      </c>
      <c r="W277" s="20">
        <v>630000</v>
      </c>
      <c r="X277" s="16">
        <v>31.1</v>
      </c>
      <c r="Y277" s="21">
        <v>24.2</v>
      </c>
      <c r="Z277" s="20">
        <v>20250</v>
      </c>
      <c r="AA277" s="17">
        <v>26000</v>
      </c>
      <c r="AB277" s="22">
        <v>1.3</v>
      </c>
      <c r="AC277" s="23">
        <f t="shared" si="29"/>
        <v>100</v>
      </c>
      <c r="AD277" s="17">
        <v>12000</v>
      </c>
      <c r="AE277" s="17">
        <v>135000</v>
      </c>
      <c r="AF277" s="17">
        <v>99000</v>
      </c>
      <c r="AG277" s="17">
        <v>63000</v>
      </c>
      <c r="AH277" s="15" t="s">
        <v>42</v>
      </c>
    </row>
    <row r="278" spans="1:34">
      <c r="A278" s="13" t="str">
        <f t="shared" si="24"/>
        <v>OverStock</v>
      </c>
      <c r="B278" s="14" t="s">
        <v>82</v>
      </c>
      <c r="C278" s="15" t="s">
        <v>46</v>
      </c>
      <c r="D278" s="19">
        <f t="shared" si="25"/>
        <v>5.0999999999999996</v>
      </c>
      <c r="E278" s="16">
        <f t="shared" si="26"/>
        <v>16.5</v>
      </c>
      <c r="F278" s="16">
        <f t="shared" si="27"/>
        <v>13.5</v>
      </c>
      <c r="G278" s="16">
        <f t="shared" si="28"/>
        <v>43.5</v>
      </c>
      <c r="H278" s="24" t="str">
        <f>IFERROR(VLOOKUP(B278,#REF!,8,FALSE),"")</f>
        <v/>
      </c>
      <c r="I278" s="17">
        <v>435000</v>
      </c>
      <c r="J278" s="17">
        <v>0</v>
      </c>
      <c r="K278" s="24" t="str">
        <f>IFERROR(VLOOKUP(B278,#REF!,11,FALSE),"")</f>
        <v/>
      </c>
      <c r="L278" s="17">
        <v>165000</v>
      </c>
      <c r="M278" s="6" t="s">
        <v>745</v>
      </c>
      <c r="N278" s="18" t="str">
        <f>IFERROR(VLOOKUP(B278,#REF!,13,FALSE),"")</f>
        <v/>
      </c>
      <c r="O278" s="19" t="str">
        <f>IFERROR(VLOOKUP(B278,#REF!,14,FALSE),"")</f>
        <v/>
      </c>
      <c r="P278" s="19" t="str">
        <f>IFERROR(VLOOKUP(B278,#REF!,15,FALSE),"")</f>
        <v/>
      </c>
      <c r="Q278" s="19"/>
      <c r="R278" s="25" t="str">
        <f>IFERROR(VLOOKUP(B278,#REF!,16,FALSE),"")</f>
        <v/>
      </c>
      <c r="S278" s="17">
        <v>0</v>
      </c>
      <c r="T278" s="17">
        <v>165000</v>
      </c>
      <c r="U278" s="17">
        <v>0</v>
      </c>
      <c r="V278" s="17">
        <v>0</v>
      </c>
      <c r="W278" s="20">
        <v>600000</v>
      </c>
      <c r="X278" s="16">
        <v>18.600000000000001</v>
      </c>
      <c r="Y278" s="21">
        <v>60</v>
      </c>
      <c r="Z278" s="20">
        <v>32250</v>
      </c>
      <c r="AA278" s="17">
        <v>10000</v>
      </c>
      <c r="AB278" s="22">
        <v>0.3</v>
      </c>
      <c r="AC278" s="23">
        <f t="shared" si="29"/>
        <v>50</v>
      </c>
      <c r="AD278" s="17">
        <v>0</v>
      </c>
      <c r="AE278" s="17">
        <v>0</v>
      </c>
      <c r="AF278" s="17">
        <v>90000</v>
      </c>
      <c r="AG278" s="17">
        <v>18000</v>
      </c>
      <c r="AH278" s="15" t="s">
        <v>42</v>
      </c>
    </row>
    <row r="279" spans="1:34">
      <c r="A279" s="13" t="str">
        <f t="shared" si="24"/>
        <v>OverStock</v>
      </c>
      <c r="B279" s="14" t="s">
        <v>83</v>
      </c>
      <c r="C279" s="15" t="s">
        <v>46</v>
      </c>
      <c r="D279" s="19">
        <f t="shared" si="25"/>
        <v>83</v>
      </c>
      <c r="E279" s="16" t="str">
        <f t="shared" si="26"/>
        <v>--</v>
      </c>
      <c r="F279" s="16">
        <f t="shared" si="27"/>
        <v>0</v>
      </c>
      <c r="G279" s="16" t="str">
        <f t="shared" si="28"/>
        <v>--</v>
      </c>
      <c r="H279" s="24" t="str">
        <f>IFERROR(VLOOKUP(B279,#REF!,8,FALSE),"")</f>
        <v/>
      </c>
      <c r="I279" s="17">
        <v>0</v>
      </c>
      <c r="J279" s="17">
        <v>0</v>
      </c>
      <c r="K279" s="24" t="str">
        <f>IFERROR(VLOOKUP(B279,#REF!,11,FALSE),"")</f>
        <v/>
      </c>
      <c r="L279" s="17">
        <v>217800</v>
      </c>
      <c r="M279" s="6" t="s">
        <v>745</v>
      </c>
      <c r="N279" s="18" t="str">
        <f>IFERROR(VLOOKUP(B279,#REF!,13,FALSE),"")</f>
        <v/>
      </c>
      <c r="O279" s="19" t="str">
        <f>IFERROR(VLOOKUP(B279,#REF!,14,FALSE),"")</f>
        <v/>
      </c>
      <c r="P279" s="19" t="str">
        <f>IFERROR(VLOOKUP(B279,#REF!,15,FALSE),"")</f>
        <v/>
      </c>
      <c r="Q279" s="19"/>
      <c r="R279" s="25" t="str">
        <f>IFERROR(VLOOKUP(B279,#REF!,16,FALSE),"")</f>
        <v/>
      </c>
      <c r="S279" s="17">
        <v>0</v>
      </c>
      <c r="T279" s="17">
        <v>217800</v>
      </c>
      <c r="U279" s="17">
        <v>0</v>
      </c>
      <c r="V279" s="17">
        <v>0</v>
      </c>
      <c r="W279" s="20">
        <v>217800</v>
      </c>
      <c r="X279" s="16">
        <v>83</v>
      </c>
      <c r="Y279" s="21" t="s">
        <v>40</v>
      </c>
      <c r="Z279" s="20">
        <v>2625</v>
      </c>
      <c r="AA279" s="17" t="s">
        <v>40</v>
      </c>
      <c r="AB279" s="22" t="s">
        <v>41</v>
      </c>
      <c r="AC279" s="23" t="str">
        <f t="shared" si="29"/>
        <v>E</v>
      </c>
      <c r="AD279" s="17">
        <v>0</v>
      </c>
      <c r="AE279" s="17">
        <v>0</v>
      </c>
      <c r="AF279" s="17">
        <v>0</v>
      </c>
      <c r="AG279" s="17">
        <v>0</v>
      </c>
      <c r="AH279" s="15" t="s">
        <v>42</v>
      </c>
    </row>
    <row r="280" spans="1:34">
      <c r="A280" s="13" t="str">
        <f t="shared" si="24"/>
        <v>OverStock</v>
      </c>
      <c r="B280" s="14" t="s">
        <v>84</v>
      </c>
      <c r="C280" s="15" t="s">
        <v>46</v>
      </c>
      <c r="D280" s="19">
        <f t="shared" si="25"/>
        <v>5.4</v>
      </c>
      <c r="E280" s="16">
        <f t="shared" si="26"/>
        <v>5.4</v>
      </c>
      <c r="F280" s="16">
        <f t="shared" si="27"/>
        <v>25.8</v>
      </c>
      <c r="G280" s="16">
        <f t="shared" si="28"/>
        <v>25.7</v>
      </c>
      <c r="H280" s="24" t="str">
        <f>IFERROR(VLOOKUP(B280,#REF!,8,FALSE),"")</f>
        <v/>
      </c>
      <c r="I280" s="17">
        <v>300000</v>
      </c>
      <c r="J280" s="17">
        <v>90000</v>
      </c>
      <c r="K280" s="24" t="str">
        <f>IFERROR(VLOOKUP(B280,#REF!,11,FALSE),"")</f>
        <v/>
      </c>
      <c r="L280" s="17">
        <v>63000</v>
      </c>
      <c r="M280" s="6" t="s">
        <v>745</v>
      </c>
      <c r="N280" s="18" t="str">
        <f>IFERROR(VLOOKUP(B280,#REF!,13,FALSE),"")</f>
        <v/>
      </c>
      <c r="O280" s="19" t="str">
        <f>IFERROR(VLOOKUP(B280,#REF!,14,FALSE),"")</f>
        <v/>
      </c>
      <c r="P280" s="19" t="str">
        <f>IFERROR(VLOOKUP(B280,#REF!,15,FALSE),"")</f>
        <v/>
      </c>
      <c r="Q280" s="19"/>
      <c r="R280" s="25" t="str">
        <f>IFERROR(VLOOKUP(B280,#REF!,16,FALSE),"")</f>
        <v/>
      </c>
      <c r="S280" s="17">
        <v>0</v>
      </c>
      <c r="T280" s="17">
        <v>63000</v>
      </c>
      <c r="U280" s="17">
        <v>0</v>
      </c>
      <c r="V280" s="17">
        <v>0</v>
      </c>
      <c r="W280" s="20">
        <v>363000</v>
      </c>
      <c r="X280" s="16">
        <v>31.2</v>
      </c>
      <c r="Y280" s="21">
        <v>31.1</v>
      </c>
      <c r="Z280" s="20">
        <v>11625</v>
      </c>
      <c r="AA280" s="17">
        <v>11667</v>
      </c>
      <c r="AB280" s="22">
        <v>1</v>
      </c>
      <c r="AC280" s="23">
        <f t="shared" si="29"/>
        <v>100</v>
      </c>
      <c r="AD280" s="17">
        <v>0</v>
      </c>
      <c r="AE280" s="17">
        <v>66000</v>
      </c>
      <c r="AF280" s="17">
        <v>45000</v>
      </c>
      <c r="AG280" s="17">
        <v>27000</v>
      </c>
      <c r="AH280" s="15" t="s">
        <v>42</v>
      </c>
    </row>
    <row r="281" spans="1:34">
      <c r="A281" s="13" t="str">
        <f t="shared" si="24"/>
        <v>OverStock</v>
      </c>
      <c r="B281" s="14" t="s">
        <v>85</v>
      </c>
      <c r="C281" s="15" t="s">
        <v>46</v>
      </c>
      <c r="D281" s="19">
        <f t="shared" si="25"/>
        <v>4.9000000000000004</v>
      </c>
      <c r="E281" s="16" t="str">
        <f t="shared" si="26"/>
        <v>--</v>
      </c>
      <c r="F281" s="16">
        <f t="shared" si="27"/>
        <v>26.8</v>
      </c>
      <c r="G281" s="16" t="str">
        <f t="shared" si="28"/>
        <v>--</v>
      </c>
      <c r="H281" s="24" t="str">
        <f>IFERROR(VLOOKUP(B281,#REF!,8,FALSE),"")</f>
        <v/>
      </c>
      <c r="I281" s="17">
        <v>171000</v>
      </c>
      <c r="J281" s="17">
        <v>60000</v>
      </c>
      <c r="K281" s="24" t="str">
        <f>IFERROR(VLOOKUP(B281,#REF!,11,FALSE),"")</f>
        <v/>
      </c>
      <c r="L281" s="17">
        <v>31000</v>
      </c>
      <c r="M281" s="6" t="s">
        <v>745</v>
      </c>
      <c r="N281" s="18" t="str">
        <f>IFERROR(VLOOKUP(B281,#REF!,13,FALSE),"")</f>
        <v/>
      </c>
      <c r="O281" s="19" t="str">
        <f>IFERROR(VLOOKUP(B281,#REF!,14,FALSE),"")</f>
        <v/>
      </c>
      <c r="P281" s="19" t="str">
        <f>IFERROR(VLOOKUP(B281,#REF!,15,FALSE),"")</f>
        <v/>
      </c>
      <c r="Q281" s="19"/>
      <c r="R281" s="25" t="str">
        <f>IFERROR(VLOOKUP(B281,#REF!,16,FALSE),"")</f>
        <v/>
      </c>
      <c r="S281" s="17">
        <v>0</v>
      </c>
      <c r="T281" s="17">
        <v>31000</v>
      </c>
      <c r="U281" s="17">
        <v>0</v>
      </c>
      <c r="V281" s="17">
        <v>0</v>
      </c>
      <c r="W281" s="20">
        <v>202000</v>
      </c>
      <c r="X281" s="16">
        <v>31.7</v>
      </c>
      <c r="Y281" s="21" t="s">
        <v>40</v>
      </c>
      <c r="Z281" s="20">
        <v>6375</v>
      </c>
      <c r="AA281" s="17" t="s">
        <v>40</v>
      </c>
      <c r="AB281" s="22" t="s">
        <v>41</v>
      </c>
      <c r="AC281" s="23" t="str">
        <f t="shared" si="29"/>
        <v>E</v>
      </c>
      <c r="AD281" s="17">
        <v>0</v>
      </c>
      <c r="AE281" s="17">
        <v>0</v>
      </c>
      <c r="AF281" s="17">
        <v>0</v>
      </c>
      <c r="AG281" s="17">
        <v>0</v>
      </c>
      <c r="AH281" s="15" t="s">
        <v>42</v>
      </c>
    </row>
    <row r="282" spans="1:34">
      <c r="A282" s="13" t="str">
        <f t="shared" si="24"/>
        <v>OverStock</v>
      </c>
      <c r="B282" s="14" t="s">
        <v>86</v>
      </c>
      <c r="C282" s="15" t="s">
        <v>46</v>
      </c>
      <c r="D282" s="19">
        <f t="shared" si="25"/>
        <v>6.2</v>
      </c>
      <c r="E282" s="16">
        <f t="shared" si="26"/>
        <v>7.4</v>
      </c>
      <c r="F282" s="16">
        <f t="shared" si="27"/>
        <v>20.9</v>
      </c>
      <c r="G282" s="16">
        <f t="shared" si="28"/>
        <v>25</v>
      </c>
      <c r="H282" s="24" t="str">
        <f>IFERROR(VLOOKUP(B282,#REF!,8,FALSE),"")</f>
        <v/>
      </c>
      <c r="I282" s="17">
        <v>320000</v>
      </c>
      <c r="J282" s="17">
        <v>220000</v>
      </c>
      <c r="K282" s="24" t="str">
        <f>IFERROR(VLOOKUP(B282,#REF!,11,FALSE),"")</f>
        <v/>
      </c>
      <c r="L282" s="17">
        <v>95000</v>
      </c>
      <c r="M282" s="6" t="s">
        <v>745</v>
      </c>
      <c r="N282" s="18" t="str">
        <f>IFERROR(VLOOKUP(B282,#REF!,13,FALSE),"")</f>
        <v/>
      </c>
      <c r="O282" s="19" t="str">
        <f>IFERROR(VLOOKUP(B282,#REF!,14,FALSE),"")</f>
        <v/>
      </c>
      <c r="P282" s="19" t="str">
        <f>IFERROR(VLOOKUP(B282,#REF!,15,FALSE),"")</f>
        <v/>
      </c>
      <c r="Q282" s="19"/>
      <c r="R282" s="25" t="str">
        <f>IFERROR(VLOOKUP(B282,#REF!,16,FALSE),"")</f>
        <v/>
      </c>
      <c r="S282" s="17">
        <v>0</v>
      </c>
      <c r="T282" s="17">
        <v>95000</v>
      </c>
      <c r="U282" s="17">
        <v>0</v>
      </c>
      <c r="V282" s="17">
        <v>0</v>
      </c>
      <c r="W282" s="20">
        <v>415000</v>
      </c>
      <c r="X282" s="16">
        <v>27.1</v>
      </c>
      <c r="Y282" s="21">
        <v>32.5</v>
      </c>
      <c r="Z282" s="20">
        <v>15313</v>
      </c>
      <c r="AA282" s="17">
        <v>12778</v>
      </c>
      <c r="AB282" s="22">
        <v>0.8</v>
      </c>
      <c r="AC282" s="23">
        <f t="shared" si="29"/>
        <v>100</v>
      </c>
      <c r="AD282" s="17">
        <v>0</v>
      </c>
      <c r="AE282" s="17">
        <v>27500</v>
      </c>
      <c r="AF282" s="17">
        <v>87500</v>
      </c>
      <c r="AG282" s="17">
        <v>97500</v>
      </c>
      <c r="AH282" s="15" t="s">
        <v>42</v>
      </c>
    </row>
    <row r="283" spans="1:34">
      <c r="A283" s="13" t="str">
        <f t="shared" si="24"/>
        <v>OverStock</v>
      </c>
      <c r="B283" s="14" t="s">
        <v>87</v>
      </c>
      <c r="C283" s="15" t="s">
        <v>46</v>
      </c>
      <c r="D283" s="19">
        <f t="shared" si="25"/>
        <v>0.9</v>
      </c>
      <c r="E283" s="16">
        <f t="shared" si="26"/>
        <v>0.8</v>
      </c>
      <c r="F283" s="16">
        <f t="shared" si="27"/>
        <v>23.2</v>
      </c>
      <c r="G283" s="16">
        <f t="shared" si="28"/>
        <v>21.4</v>
      </c>
      <c r="H283" s="24" t="str">
        <f>IFERROR(VLOOKUP(B283,#REF!,8,FALSE),"")</f>
        <v/>
      </c>
      <c r="I283" s="17">
        <v>2280500</v>
      </c>
      <c r="J283" s="17">
        <v>480500</v>
      </c>
      <c r="K283" s="24" t="str">
        <f>IFERROR(VLOOKUP(B283,#REF!,11,FALSE),"")</f>
        <v/>
      </c>
      <c r="L283" s="17">
        <v>85000</v>
      </c>
      <c r="M283" s="6" t="s">
        <v>745</v>
      </c>
      <c r="N283" s="18" t="str">
        <f>IFERROR(VLOOKUP(B283,#REF!,13,FALSE),"")</f>
        <v/>
      </c>
      <c r="O283" s="19" t="str">
        <f>IFERROR(VLOOKUP(B283,#REF!,14,FALSE),"")</f>
        <v/>
      </c>
      <c r="P283" s="19" t="str">
        <f>IFERROR(VLOOKUP(B283,#REF!,15,FALSE),"")</f>
        <v/>
      </c>
      <c r="Q283" s="19"/>
      <c r="R283" s="25" t="str">
        <f>IFERROR(VLOOKUP(B283,#REF!,16,FALSE),"")</f>
        <v/>
      </c>
      <c r="S283" s="17">
        <v>0</v>
      </c>
      <c r="T283" s="17">
        <v>85000</v>
      </c>
      <c r="U283" s="17">
        <v>0</v>
      </c>
      <c r="V283" s="17">
        <v>0</v>
      </c>
      <c r="W283" s="20">
        <v>2365500</v>
      </c>
      <c r="X283" s="16">
        <v>24.1</v>
      </c>
      <c r="Y283" s="21">
        <v>22.2</v>
      </c>
      <c r="Z283" s="20">
        <v>98125</v>
      </c>
      <c r="AA283" s="17">
        <v>106668</v>
      </c>
      <c r="AB283" s="22">
        <v>1.1000000000000001</v>
      </c>
      <c r="AC283" s="23">
        <f t="shared" si="29"/>
        <v>100</v>
      </c>
      <c r="AD283" s="17">
        <v>57500</v>
      </c>
      <c r="AE283" s="17">
        <v>462500</v>
      </c>
      <c r="AF283" s="17">
        <v>440000</v>
      </c>
      <c r="AG283" s="17">
        <v>500000</v>
      </c>
      <c r="AH283" s="15" t="s">
        <v>42</v>
      </c>
    </row>
    <row r="284" spans="1:34">
      <c r="A284" s="13" t="str">
        <f t="shared" si="24"/>
        <v>Normal</v>
      </c>
      <c r="B284" s="14" t="s">
        <v>88</v>
      </c>
      <c r="C284" s="15" t="s">
        <v>46</v>
      </c>
      <c r="D284" s="19">
        <f t="shared" si="25"/>
        <v>2.4</v>
      </c>
      <c r="E284" s="16" t="str">
        <f t="shared" si="26"/>
        <v>--</v>
      </c>
      <c r="F284" s="16">
        <f t="shared" si="27"/>
        <v>0</v>
      </c>
      <c r="G284" s="16" t="str">
        <f t="shared" si="28"/>
        <v>--</v>
      </c>
      <c r="H284" s="24" t="str">
        <f>IFERROR(VLOOKUP(B284,#REF!,8,FALSE),"")</f>
        <v/>
      </c>
      <c r="I284" s="17">
        <v>0</v>
      </c>
      <c r="J284" s="17">
        <v>0</v>
      </c>
      <c r="K284" s="24" t="str">
        <f>IFERROR(VLOOKUP(B284,#REF!,11,FALSE),"")</f>
        <v/>
      </c>
      <c r="L284" s="17">
        <v>152500</v>
      </c>
      <c r="M284" s="6" t="s">
        <v>745</v>
      </c>
      <c r="N284" s="18" t="str">
        <f>IFERROR(VLOOKUP(B284,#REF!,13,FALSE),"")</f>
        <v/>
      </c>
      <c r="O284" s="19" t="str">
        <f>IFERROR(VLOOKUP(B284,#REF!,14,FALSE),"")</f>
        <v/>
      </c>
      <c r="P284" s="19" t="str">
        <f>IFERROR(VLOOKUP(B284,#REF!,15,FALSE),"")</f>
        <v/>
      </c>
      <c r="Q284" s="19"/>
      <c r="R284" s="25" t="str">
        <f>IFERROR(VLOOKUP(B284,#REF!,16,FALSE),"")</f>
        <v/>
      </c>
      <c r="S284" s="17">
        <v>0</v>
      </c>
      <c r="T284" s="17">
        <v>152500</v>
      </c>
      <c r="U284" s="17">
        <v>0</v>
      </c>
      <c r="V284" s="17">
        <v>0</v>
      </c>
      <c r="W284" s="20">
        <v>152500</v>
      </c>
      <c r="X284" s="16">
        <v>2.4</v>
      </c>
      <c r="Y284" s="21" t="s">
        <v>40</v>
      </c>
      <c r="Z284" s="20">
        <v>64688</v>
      </c>
      <c r="AA284" s="17">
        <v>0</v>
      </c>
      <c r="AB284" s="22" t="s">
        <v>41</v>
      </c>
      <c r="AC284" s="23" t="str">
        <f t="shared" si="29"/>
        <v>E</v>
      </c>
      <c r="AD284" s="17">
        <v>0</v>
      </c>
      <c r="AE284" s="17">
        <v>0</v>
      </c>
      <c r="AF284" s="17">
        <v>0</v>
      </c>
      <c r="AG284" s="17">
        <v>50000</v>
      </c>
      <c r="AH284" s="15" t="s">
        <v>42</v>
      </c>
    </row>
    <row r="285" spans="1:34">
      <c r="A285" s="13" t="str">
        <f t="shared" si="24"/>
        <v>Normal</v>
      </c>
      <c r="B285" s="14" t="s">
        <v>90</v>
      </c>
      <c r="C285" s="15" t="s">
        <v>46</v>
      </c>
      <c r="D285" s="19">
        <f t="shared" si="25"/>
        <v>0</v>
      </c>
      <c r="E285" s="16">
        <f t="shared" si="26"/>
        <v>0</v>
      </c>
      <c r="F285" s="16">
        <f t="shared" si="27"/>
        <v>0</v>
      </c>
      <c r="G285" s="16">
        <f t="shared" si="28"/>
        <v>0</v>
      </c>
      <c r="H285" s="24" t="str">
        <f>IFERROR(VLOOKUP(B285,#REF!,8,FALSE),"")</f>
        <v/>
      </c>
      <c r="I285" s="17">
        <v>0</v>
      </c>
      <c r="J285" s="17">
        <v>0</v>
      </c>
      <c r="K285" s="24" t="str">
        <f>IFERROR(VLOOKUP(B285,#REF!,11,FALSE),"")</f>
        <v/>
      </c>
      <c r="L285" s="17">
        <v>0</v>
      </c>
      <c r="M285" s="6" t="s">
        <v>744</v>
      </c>
      <c r="N285" s="18" t="str">
        <f>IFERROR(VLOOKUP(B285,#REF!,13,FALSE),"")</f>
        <v/>
      </c>
      <c r="O285" s="19" t="str">
        <f>IFERROR(VLOOKUP(B285,#REF!,14,FALSE),"")</f>
        <v/>
      </c>
      <c r="P285" s="19" t="str">
        <f>IFERROR(VLOOKUP(B285,#REF!,15,FALSE),"")</f>
        <v/>
      </c>
      <c r="Q285" s="19"/>
      <c r="R285" s="25" t="str">
        <f>IFERROR(VLOOKUP(B285,#REF!,16,FALSE),"")</f>
        <v/>
      </c>
      <c r="S285" s="17">
        <v>0</v>
      </c>
      <c r="T285" s="17">
        <v>0</v>
      </c>
      <c r="U285" s="17">
        <v>0</v>
      </c>
      <c r="V285" s="17">
        <v>0</v>
      </c>
      <c r="W285" s="20">
        <v>0</v>
      </c>
      <c r="X285" s="16">
        <v>0</v>
      </c>
      <c r="Y285" s="21">
        <v>0</v>
      </c>
      <c r="Z285" s="20">
        <v>1125</v>
      </c>
      <c r="AA285" s="17">
        <v>8000</v>
      </c>
      <c r="AB285" s="22">
        <v>7.1</v>
      </c>
      <c r="AC285" s="23">
        <f t="shared" si="29"/>
        <v>150</v>
      </c>
      <c r="AD285" s="17">
        <v>12000</v>
      </c>
      <c r="AE285" s="17">
        <v>45000</v>
      </c>
      <c r="AF285" s="17">
        <v>21000</v>
      </c>
      <c r="AG285" s="17">
        <v>18000</v>
      </c>
      <c r="AH285" s="15" t="s">
        <v>42</v>
      </c>
    </row>
    <row r="286" spans="1:34">
      <c r="A286" s="13" t="str">
        <f t="shared" si="24"/>
        <v>OverStock</v>
      </c>
      <c r="B286" s="14" t="s">
        <v>91</v>
      </c>
      <c r="C286" s="15" t="s">
        <v>46</v>
      </c>
      <c r="D286" s="19">
        <f t="shared" si="25"/>
        <v>8</v>
      </c>
      <c r="E286" s="16">
        <f t="shared" si="26"/>
        <v>5.4</v>
      </c>
      <c r="F286" s="16">
        <f t="shared" si="27"/>
        <v>8.9</v>
      </c>
      <c r="G286" s="16">
        <f t="shared" si="28"/>
        <v>6</v>
      </c>
      <c r="H286" s="24" t="str">
        <f>IFERROR(VLOOKUP(B286,#REF!,8,FALSE),"")</f>
        <v/>
      </c>
      <c r="I286" s="17">
        <v>30000</v>
      </c>
      <c r="J286" s="17">
        <v>0</v>
      </c>
      <c r="K286" s="24" t="str">
        <f>IFERROR(VLOOKUP(B286,#REF!,11,FALSE),"")</f>
        <v/>
      </c>
      <c r="L286" s="17">
        <v>27000</v>
      </c>
      <c r="M286" s="6" t="s">
        <v>745</v>
      </c>
      <c r="N286" s="18" t="str">
        <f>IFERROR(VLOOKUP(B286,#REF!,13,FALSE),"")</f>
        <v/>
      </c>
      <c r="O286" s="19" t="str">
        <f>IFERROR(VLOOKUP(B286,#REF!,14,FALSE),"")</f>
        <v/>
      </c>
      <c r="P286" s="19" t="str">
        <f>IFERROR(VLOOKUP(B286,#REF!,15,FALSE),"")</f>
        <v/>
      </c>
      <c r="Q286" s="19"/>
      <c r="R286" s="25" t="str">
        <f>IFERROR(VLOOKUP(B286,#REF!,16,FALSE),"")</f>
        <v/>
      </c>
      <c r="S286" s="17">
        <v>0</v>
      </c>
      <c r="T286" s="17">
        <v>27000</v>
      </c>
      <c r="U286" s="17">
        <v>0</v>
      </c>
      <c r="V286" s="17">
        <v>0</v>
      </c>
      <c r="W286" s="20">
        <v>57000</v>
      </c>
      <c r="X286" s="16">
        <v>16.899999999999999</v>
      </c>
      <c r="Y286" s="21">
        <v>11.4</v>
      </c>
      <c r="Z286" s="20">
        <v>3375</v>
      </c>
      <c r="AA286" s="17">
        <v>5000</v>
      </c>
      <c r="AB286" s="22">
        <v>1.5</v>
      </c>
      <c r="AC286" s="23">
        <f t="shared" si="29"/>
        <v>100</v>
      </c>
      <c r="AD286" s="17">
        <v>9498</v>
      </c>
      <c r="AE286" s="17">
        <v>35502</v>
      </c>
      <c r="AF286" s="17">
        <v>0</v>
      </c>
      <c r="AG286" s="17">
        <v>0</v>
      </c>
      <c r="AH286" s="15" t="s">
        <v>42</v>
      </c>
    </row>
    <row r="287" spans="1:34">
      <c r="A287" s="13" t="str">
        <f t="shared" si="24"/>
        <v>Normal</v>
      </c>
      <c r="B287" s="14" t="s">
        <v>92</v>
      </c>
      <c r="C287" s="15" t="s">
        <v>46</v>
      </c>
      <c r="D287" s="19">
        <f t="shared" si="25"/>
        <v>9.8000000000000007</v>
      </c>
      <c r="E287" s="16">
        <f t="shared" si="26"/>
        <v>2.1</v>
      </c>
      <c r="F287" s="16">
        <f t="shared" si="27"/>
        <v>0</v>
      </c>
      <c r="G287" s="16">
        <f t="shared" si="28"/>
        <v>0</v>
      </c>
      <c r="H287" s="24" t="str">
        <f>IFERROR(VLOOKUP(B287,#REF!,8,FALSE),"")</f>
        <v/>
      </c>
      <c r="I287" s="17">
        <v>0</v>
      </c>
      <c r="J287" s="17">
        <v>0</v>
      </c>
      <c r="K287" s="24" t="str">
        <f>IFERROR(VLOOKUP(B287,#REF!,11,FALSE),"")</f>
        <v/>
      </c>
      <c r="L287" s="17">
        <v>48000</v>
      </c>
      <c r="M287" s="6" t="s">
        <v>744</v>
      </c>
      <c r="N287" s="18" t="str">
        <f>IFERROR(VLOOKUP(B287,#REF!,13,FALSE),"")</f>
        <v/>
      </c>
      <c r="O287" s="19" t="str">
        <f>IFERROR(VLOOKUP(B287,#REF!,14,FALSE),"")</f>
        <v/>
      </c>
      <c r="P287" s="19" t="str">
        <f>IFERROR(VLOOKUP(B287,#REF!,15,FALSE),"")</f>
        <v/>
      </c>
      <c r="Q287" s="19"/>
      <c r="R287" s="25" t="str">
        <f>IFERROR(VLOOKUP(B287,#REF!,16,FALSE),"")</f>
        <v/>
      </c>
      <c r="S287" s="17">
        <v>0</v>
      </c>
      <c r="T287" s="17">
        <v>48000</v>
      </c>
      <c r="U287" s="17">
        <v>0</v>
      </c>
      <c r="V287" s="17">
        <v>0</v>
      </c>
      <c r="W287" s="20">
        <v>48000</v>
      </c>
      <c r="X287" s="16">
        <v>9.8000000000000007</v>
      </c>
      <c r="Y287" s="21">
        <v>2.1</v>
      </c>
      <c r="Z287" s="20">
        <v>4875</v>
      </c>
      <c r="AA287" s="17">
        <v>23333</v>
      </c>
      <c r="AB287" s="22">
        <v>4.8</v>
      </c>
      <c r="AC287" s="23">
        <f t="shared" si="29"/>
        <v>150</v>
      </c>
      <c r="AD287" s="17">
        <v>24000</v>
      </c>
      <c r="AE287" s="17">
        <v>138000</v>
      </c>
      <c r="AF287" s="17">
        <v>69000</v>
      </c>
      <c r="AG287" s="17">
        <v>39000</v>
      </c>
      <c r="AH287" s="15" t="s">
        <v>42</v>
      </c>
    </row>
    <row r="288" spans="1:34">
      <c r="A288" s="13" t="str">
        <f t="shared" si="24"/>
        <v>OverStock</v>
      </c>
      <c r="B288" s="14" t="s">
        <v>96</v>
      </c>
      <c r="C288" s="15" t="s">
        <v>46</v>
      </c>
      <c r="D288" s="19">
        <f t="shared" si="25"/>
        <v>4.9000000000000004</v>
      </c>
      <c r="E288" s="16">
        <f t="shared" si="26"/>
        <v>4</v>
      </c>
      <c r="F288" s="16">
        <f t="shared" si="27"/>
        <v>61.9</v>
      </c>
      <c r="G288" s="16">
        <f t="shared" si="28"/>
        <v>50.5</v>
      </c>
      <c r="H288" s="24" t="str">
        <f>IFERROR(VLOOKUP(B288,#REF!,8,FALSE),"")</f>
        <v/>
      </c>
      <c r="I288" s="17">
        <v>1440000</v>
      </c>
      <c r="J288" s="17">
        <v>360000</v>
      </c>
      <c r="K288" s="24" t="str">
        <f>IFERROR(VLOOKUP(B288,#REF!,11,FALSE),"")</f>
        <v/>
      </c>
      <c r="L288" s="17">
        <v>113300</v>
      </c>
      <c r="M288" s="6" t="s">
        <v>745</v>
      </c>
      <c r="N288" s="18" t="str">
        <f>IFERROR(VLOOKUP(B288,#REF!,13,FALSE),"")</f>
        <v/>
      </c>
      <c r="O288" s="19" t="str">
        <f>IFERROR(VLOOKUP(B288,#REF!,14,FALSE),"")</f>
        <v/>
      </c>
      <c r="P288" s="19" t="str">
        <f>IFERROR(VLOOKUP(B288,#REF!,15,FALSE),"")</f>
        <v/>
      </c>
      <c r="Q288" s="19"/>
      <c r="R288" s="25" t="str">
        <f>IFERROR(VLOOKUP(B288,#REF!,16,FALSE),"")</f>
        <v/>
      </c>
      <c r="S288" s="17">
        <v>0</v>
      </c>
      <c r="T288" s="17">
        <v>113300</v>
      </c>
      <c r="U288" s="17">
        <v>0</v>
      </c>
      <c r="V288" s="17">
        <v>0</v>
      </c>
      <c r="W288" s="20">
        <v>1553300</v>
      </c>
      <c r="X288" s="16">
        <v>66.8</v>
      </c>
      <c r="Y288" s="21">
        <v>54.5</v>
      </c>
      <c r="Z288" s="20">
        <v>23250</v>
      </c>
      <c r="AA288" s="17">
        <v>28487</v>
      </c>
      <c r="AB288" s="22">
        <v>1.2</v>
      </c>
      <c r="AC288" s="23">
        <f t="shared" si="29"/>
        <v>100</v>
      </c>
      <c r="AD288" s="17">
        <v>6000</v>
      </c>
      <c r="AE288" s="17">
        <v>69000</v>
      </c>
      <c r="AF288" s="17">
        <v>207000</v>
      </c>
      <c r="AG288" s="17">
        <v>204000</v>
      </c>
      <c r="AH288" s="15" t="s">
        <v>42</v>
      </c>
    </row>
    <row r="289" spans="1:34">
      <c r="A289" s="13" t="str">
        <f t="shared" si="24"/>
        <v>Normal</v>
      </c>
      <c r="B289" s="14" t="s">
        <v>97</v>
      </c>
      <c r="C289" s="15" t="s">
        <v>46</v>
      </c>
      <c r="D289" s="19">
        <f t="shared" si="25"/>
        <v>2.6</v>
      </c>
      <c r="E289" s="16">
        <f t="shared" si="26"/>
        <v>4.3</v>
      </c>
      <c r="F289" s="16">
        <f t="shared" si="27"/>
        <v>12</v>
      </c>
      <c r="G289" s="16">
        <f t="shared" si="28"/>
        <v>20</v>
      </c>
      <c r="H289" s="24" t="str">
        <f>IFERROR(VLOOKUP(B289,#REF!,8,FALSE),"")</f>
        <v/>
      </c>
      <c r="I289" s="17">
        <v>300000</v>
      </c>
      <c r="J289" s="17">
        <v>100000</v>
      </c>
      <c r="K289" s="24" t="str">
        <f>IFERROR(VLOOKUP(B289,#REF!,11,FALSE),"")</f>
        <v/>
      </c>
      <c r="L289" s="17">
        <v>65000</v>
      </c>
      <c r="M289" s="6" t="s">
        <v>745</v>
      </c>
      <c r="N289" s="18" t="str">
        <f>IFERROR(VLOOKUP(B289,#REF!,13,FALSE),"")</f>
        <v/>
      </c>
      <c r="O289" s="19" t="str">
        <f>IFERROR(VLOOKUP(B289,#REF!,14,FALSE),"")</f>
        <v/>
      </c>
      <c r="P289" s="19" t="str">
        <f>IFERROR(VLOOKUP(B289,#REF!,15,FALSE),"")</f>
        <v/>
      </c>
      <c r="Q289" s="19"/>
      <c r="R289" s="25" t="str">
        <f>IFERROR(VLOOKUP(B289,#REF!,16,FALSE),"")</f>
        <v/>
      </c>
      <c r="S289" s="17">
        <v>0</v>
      </c>
      <c r="T289" s="17">
        <v>65000</v>
      </c>
      <c r="U289" s="17">
        <v>0</v>
      </c>
      <c r="V289" s="17">
        <v>0</v>
      </c>
      <c r="W289" s="20">
        <v>365000</v>
      </c>
      <c r="X289" s="16">
        <v>14.6</v>
      </c>
      <c r="Y289" s="21">
        <v>24.3</v>
      </c>
      <c r="Z289" s="20">
        <v>25000</v>
      </c>
      <c r="AA289" s="17">
        <v>15000</v>
      </c>
      <c r="AB289" s="22">
        <v>0.6</v>
      </c>
      <c r="AC289" s="23">
        <f t="shared" si="29"/>
        <v>100</v>
      </c>
      <c r="AD289" s="17">
        <v>0</v>
      </c>
      <c r="AE289" s="17">
        <v>70000</v>
      </c>
      <c r="AF289" s="17">
        <v>65000</v>
      </c>
      <c r="AG289" s="17">
        <v>40000</v>
      </c>
      <c r="AH289" s="15" t="s">
        <v>42</v>
      </c>
    </row>
    <row r="290" spans="1:34">
      <c r="A290" s="13" t="str">
        <f t="shared" si="24"/>
        <v>Normal</v>
      </c>
      <c r="B290" s="14" t="s">
        <v>98</v>
      </c>
      <c r="C290" s="15" t="s">
        <v>46</v>
      </c>
      <c r="D290" s="19">
        <f t="shared" si="25"/>
        <v>0</v>
      </c>
      <c r="E290" s="16" t="str">
        <f t="shared" si="26"/>
        <v>--</v>
      </c>
      <c r="F290" s="16">
        <f t="shared" si="27"/>
        <v>16</v>
      </c>
      <c r="G290" s="16" t="str">
        <f t="shared" si="28"/>
        <v>--</v>
      </c>
      <c r="H290" s="24" t="str">
        <f>IFERROR(VLOOKUP(B290,#REF!,8,FALSE),"")</f>
        <v/>
      </c>
      <c r="I290" s="17">
        <v>10000</v>
      </c>
      <c r="J290" s="17">
        <v>10000</v>
      </c>
      <c r="K290" s="24" t="str">
        <f>IFERROR(VLOOKUP(B290,#REF!,11,FALSE),"")</f>
        <v/>
      </c>
      <c r="L290" s="17">
        <v>0</v>
      </c>
      <c r="M290" s="6" t="s">
        <v>745</v>
      </c>
      <c r="N290" s="18" t="str">
        <f>IFERROR(VLOOKUP(B290,#REF!,13,FALSE),"")</f>
        <v/>
      </c>
      <c r="O290" s="19" t="str">
        <f>IFERROR(VLOOKUP(B290,#REF!,14,FALSE),"")</f>
        <v/>
      </c>
      <c r="P290" s="19" t="str">
        <f>IFERROR(VLOOKUP(B290,#REF!,15,FALSE),"")</f>
        <v/>
      </c>
      <c r="Q290" s="19"/>
      <c r="R290" s="25" t="str">
        <f>IFERROR(VLOOKUP(B290,#REF!,16,FALSE),"")</f>
        <v/>
      </c>
      <c r="S290" s="17">
        <v>0</v>
      </c>
      <c r="T290" s="17">
        <v>0</v>
      </c>
      <c r="U290" s="17">
        <v>0</v>
      </c>
      <c r="V290" s="17">
        <v>0</v>
      </c>
      <c r="W290" s="20">
        <v>10000</v>
      </c>
      <c r="X290" s="16">
        <v>16</v>
      </c>
      <c r="Y290" s="21" t="s">
        <v>40</v>
      </c>
      <c r="Z290" s="20">
        <v>625</v>
      </c>
      <c r="AA290" s="17" t="s">
        <v>40</v>
      </c>
      <c r="AB290" s="22" t="s">
        <v>41</v>
      </c>
      <c r="AC290" s="23" t="str">
        <f t="shared" si="29"/>
        <v>E</v>
      </c>
      <c r="AD290" s="17">
        <v>0</v>
      </c>
      <c r="AE290" s="17">
        <v>0</v>
      </c>
      <c r="AF290" s="17">
        <v>0</v>
      </c>
      <c r="AG290" s="17">
        <v>0</v>
      </c>
      <c r="AH290" s="15" t="s">
        <v>42</v>
      </c>
    </row>
    <row r="291" spans="1:34">
      <c r="A291" s="13" t="str">
        <f t="shared" si="24"/>
        <v>Normal</v>
      </c>
      <c r="B291" s="14" t="s">
        <v>99</v>
      </c>
      <c r="C291" s="15" t="s">
        <v>46</v>
      </c>
      <c r="D291" s="19">
        <f t="shared" si="25"/>
        <v>8</v>
      </c>
      <c r="E291" s="16" t="str">
        <f t="shared" si="26"/>
        <v>--</v>
      </c>
      <c r="F291" s="16">
        <f t="shared" si="27"/>
        <v>0</v>
      </c>
      <c r="G291" s="16" t="str">
        <f t="shared" si="28"/>
        <v>--</v>
      </c>
      <c r="H291" s="24" t="str">
        <f>IFERROR(VLOOKUP(B291,#REF!,8,FALSE),"")</f>
        <v/>
      </c>
      <c r="I291" s="17">
        <v>0</v>
      </c>
      <c r="J291" s="17">
        <v>0</v>
      </c>
      <c r="K291" s="24" t="str">
        <f>IFERROR(VLOOKUP(B291,#REF!,11,FALSE),"")</f>
        <v/>
      </c>
      <c r="L291" s="17">
        <v>5000</v>
      </c>
      <c r="M291" s="6" t="s">
        <v>745</v>
      </c>
      <c r="N291" s="18" t="str">
        <f>IFERROR(VLOOKUP(B291,#REF!,13,FALSE),"")</f>
        <v/>
      </c>
      <c r="O291" s="19" t="str">
        <f>IFERROR(VLOOKUP(B291,#REF!,14,FALSE),"")</f>
        <v/>
      </c>
      <c r="P291" s="19" t="str">
        <f>IFERROR(VLOOKUP(B291,#REF!,15,FALSE),"")</f>
        <v/>
      </c>
      <c r="Q291" s="19"/>
      <c r="R291" s="25" t="str">
        <f>IFERROR(VLOOKUP(B291,#REF!,16,FALSE),"")</f>
        <v/>
      </c>
      <c r="S291" s="17">
        <v>0</v>
      </c>
      <c r="T291" s="17">
        <v>5000</v>
      </c>
      <c r="U291" s="17">
        <v>0</v>
      </c>
      <c r="V291" s="17">
        <v>0</v>
      </c>
      <c r="W291" s="20">
        <v>5000</v>
      </c>
      <c r="X291" s="16">
        <v>8</v>
      </c>
      <c r="Y291" s="21" t="s">
        <v>40</v>
      </c>
      <c r="Z291" s="20">
        <v>625</v>
      </c>
      <c r="AA291" s="17" t="s">
        <v>40</v>
      </c>
      <c r="AB291" s="22" t="s">
        <v>41</v>
      </c>
      <c r="AC291" s="23" t="str">
        <f t="shared" si="29"/>
        <v>E</v>
      </c>
      <c r="AD291" s="17">
        <v>0</v>
      </c>
      <c r="AE291" s="17">
        <v>0</v>
      </c>
      <c r="AF291" s="17">
        <v>0</v>
      </c>
      <c r="AG291" s="17">
        <v>0</v>
      </c>
      <c r="AH291" s="15" t="s">
        <v>42</v>
      </c>
    </row>
    <row r="292" spans="1:34">
      <c r="A292" s="13" t="str">
        <f t="shared" si="24"/>
        <v>OverStock</v>
      </c>
      <c r="B292" s="14" t="s">
        <v>100</v>
      </c>
      <c r="C292" s="15" t="s">
        <v>46</v>
      </c>
      <c r="D292" s="19">
        <f t="shared" si="25"/>
        <v>72</v>
      </c>
      <c r="E292" s="16" t="str">
        <f t="shared" si="26"/>
        <v>--</v>
      </c>
      <c r="F292" s="16">
        <f t="shared" si="27"/>
        <v>0</v>
      </c>
      <c r="G292" s="16" t="str">
        <f t="shared" si="28"/>
        <v>--</v>
      </c>
      <c r="H292" s="24" t="str">
        <f>IFERROR(VLOOKUP(B292,#REF!,8,FALSE),"")</f>
        <v/>
      </c>
      <c r="I292" s="17">
        <v>0</v>
      </c>
      <c r="J292" s="17">
        <v>0</v>
      </c>
      <c r="K292" s="24" t="str">
        <f>IFERROR(VLOOKUP(B292,#REF!,11,FALSE),"")</f>
        <v/>
      </c>
      <c r="L292" s="17">
        <v>90000</v>
      </c>
      <c r="M292" s="6" t="s">
        <v>745</v>
      </c>
      <c r="N292" s="18" t="str">
        <f>IFERROR(VLOOKUP(B292,#REF!,13,FALSE),"")</f>
        <v/>
      </c>
      <c r="O292" s="19" t="str">
        <f>IFERROR(VLOOKUP(B292,#REF!,14,FALSE),"")</f>
        <v/>
      </c>
      <c r="P292" s="19" t="str">
        <f>IFERROR(VLOOKUP(B292,#REF!,15,FALSE),"")</f>
        <v/>
      </c>
      <c r="Q292" s="19"/>
      <c r="R292" s="25" t="str">
        <f>IFERROR(VLOOKUP(B292,#REF!,16,FALSE),"")</f>
        <v/>
      </c>
      <c r="S292" s="17">
        <v>0</v>
      </c>
      <c r="T292" s="17">
        <v>90000</v>
      </c>
      <c r="U292" s="17">
        <v>0</v>
      </c>
      <c r="V292" s="17">
        <v>0</v>
      </c>
      <c r="W292" s="20">
        <v>90000</v>
      </c>
      <c r="X292" s="16">
        <v>72</v>
      </c>
      <c r="Y292" s="21" t="s">
        <v>40</v>
      </c>
      <c r="Z292" s="20">
        <v>1250</v>
      </c>
      <c r="AA292" s="17">
        <v>0</v>
      </c>
      <c r="AB292" s="22" t="s">
        <v>41</v>
      </c>
      <c r="AC292" s="23" t="str">
        <f t="shared" si="29"/>
        <v>E</v>
      </c>
      <c r="AD292" s="17">
        <v>0</v>
      </c>
      <c r="AE292" s="17">
        <v>0</v>
      </c>
      <c r="AF292" s="17">
        <v>5000</v>
      </c>
      <c r="AG292" s="17">
        <v>10000</v>
      </c>
      <c r="AH292" s="15" t="s">
        <v>42</v>
      </c>
    </row>
    <row r="293" spans="1:34">
      <c r="A293" s="13" t="str">
        <f t="shared" si="24"/>
        <v>Normal</v>
      </c>
      <c r="B293" s="14" t="s">
        <v>101</v>
      </c>
      <c r="C293" s="15" t="s">
        <v>46</v>
      </c>
      <c r="D293" s="19">
        <f t="shared" si="25"/>
        <v>5.9</v>
      </c>
      <c r="E293" s="16">
        <f t="shared" si="26"/>
        <v>8.4</v>
      </c>
      <c r="F293" s="16">
        <f t="shared" si="27"/>
        <v>8.8000000000000007</v>
      </c>
      <c r="G293" s="16">
        <f t="shared" si="28"/>
        <v>12.5</v>
      </c>
      <c r="H293" s="24" t="str">
        <f>IFERROR(VLOOKUP(B293,#REF!,8,FALSE),"")</f>
        <v/>
      </c>
      <c r="I293" s="17">
        <v>600000</v>
      </c>
      <c r="J293" s="17">
        <v>0</v>
      </c>
      <c r="K293" s="24" t="str">
        <f>IFERROR(VLOOKUP(B293,#REF!,11,FALSE),"")</f>
        <v/>
      </c>
      <c r="L293" s="17">
        <v>405000</v>
      </c>
      <c r="M293" s="6" t="s">
        <v>745</v>
      </c>
      <c r="N293" s="18" t="str">
        <f>IFERROR(VLOOKUP(B293,#REF!,13,FALSE),"")</f>
        <v/>
      </c>
      <c r="O293" s="19" t="str">
        <f>IFERROR(VLOOKUP(B293,#REF!,14,FALSE),"")</f>
        <v/>
      </c>
      <c r="P293" s="19" t="str">
        <f>IFERROR(VLOOKUP(B293,#REF!,15,FALSE),"")</f>
        <v/>
      </c>
      <c r="Q293" s="19"/>
      <c r="R293" s="25" t="str">
        <f>IFERROR(VLOOKUP(B293,#REF!,16,FALSE),"")</f>
        <v/>
      </c>
      <c r="S293" s="17">
        <v>0</v>
      </c>
      <c r="T293" s="17">
        <v>405000</v>
      </c>
      <c r="U293" s="17">
        <v>0</v>
      </c>
      <c r="V293" s="17">
        <v>0</v>
      </c>
      <c r="W293" s="20">
        <v>1005000</v>
      </c>
      <c r="X293" s="16">
        <v>14.7</v>
      </c>
      <c r="Y293" s="21">
        <v>20.9</v>
      </c>
      <c r="Z293" s="20">
        <v>68250</v>
      </c>
      <c r="AA293" s="17">
        <v>48000</v>
      </c>
      <c r="AB293" s="22">
        <v>0.7</v>
      </c>
      <c r="AC293" s="23">
        <f t="shared" si="29"/>
        <v>100</v>
      </c>
      <c r="AD293" s="17">
        <v>0</v>
      </c>
      <c r="AE293" s="17">
        <v>213000</v>
      </c>
      <c r="AF293" s="17">
        <v>291000</v>
      </c>
      <c r="AG293" s="17">
        <v>240000</v>
      </c>
      <c r="AH293" s="15" t="s">
        <v>42</v>
      </c>
    </row>
    <row r="294" spans="1:34">
      <c r="A294" s="13" t="str">
        <f t="shared" si="24"/>
        <v>OverStock</v>
      </c>
      <c r="B294" s="14" t="s">
        <v>102</v>
      </c>
      <c r="C294" s="15" t="s">
        <v>46</v>
      </c>
      <c r="D294" s="19">
        <f t="shared" si="25"/>
        <v>9</v>
      </c>
      <c r="E294" s="16">
        <f t="shared" si="26"/>
        <v>0.3</v>
      </c>
      <c r="F294" s="16">
        <f t="shared" si="27"/>
        <v>1800</v>
      </c>
      <c r="G294" s="16">
        <f t="shared" si="28"/>
        <v>54</v>
      </c>
      <c r="H294" s="24" t="str">
        <f>IFERROR(VLOOKUP(B294,#REF!,8,FALSE),"")</f>
        <v/>
      </c>
      <c r="I294" s="17">
        <v>225000</v>
      </c>
      <c r="J294" s="17">
        <v>75000</v>
      </c>
      <c r="K294" s="24" t="str">
        <f>IFERROR(VLOOKUP(B294,#REF!,11,FALSE),"")</f>
        <v/>
      </c>
      <c r="L294" s="17">
        <v>1130</v>
      </c>
      <c r="M294" s="6" t="s">
        <v>745</v>
      </c>
      <c r="N294" s="18" t="str">
        <f>IFERROR(VLOOKUP(B294,#REF!,13,FALSE),"")</f>
        <v/>
      </c>
      <c r="O294" s="19" t="str">
        <f>IFERROR(VLOOKUP(B294,#REF!,14,FALSE),"")</f>
        <v/>
      </c>
      <c r="P294" s="19" t="str">
        <f>IFERROR(VLOOKUP(B294,#REF!,15,FALSE),"")</f>
        <v/>
      </c>
      <c r="Q294" s="19"/>
      <c r="R294" s="25" t="str">
        <f>IFERROR(VLOOKUP(B294,#REF!,16,FALSE),"")</f>
        <v/>
      </c>
      <c r="S294" s="17">
        <v>0</v>
      </c>
      <c r="T294" s="17">
        <v>1130</v>
      </c>
      <c r="U294" s="17">
        <v>0</v>
      </c>
      <c r="V294" s="17">
        <v>0</v>
      </c>
      <c r="W294" s="20">
        <v>226130</v>
      </c>
      <c r="X294" s="16">
        <v>1809</v>
      </c>
      <c r="Y294" s="21">
        <v>54.3</v>
      </c>
      <c r="Z294" s="20">
        <v>125</v>
      </c>
      <c r="AA294" s="17">
        <v>4167</v>
      </c>
      <c r="AB294" s="22">
        <v>33.299999999999997</v>
      </c>
      <c r="AC294" s="23">
        <f t="shared" si="29"/>
        <v>150</v>
      </c>
      <c r="AD294" s="17">
        <v>1500</v>
      </c>
      <c r="AE294" s="17">
        <v>7500</v>
      </c>
      <c r="AF294" s="17">
        <v>30000</v>
      </c>
      <c r="AG294" s="17">
        <v>25000</v>
      </c>
      <c r="AH294" s="15" t="s">
        <v>42</v>
      </c>
    </row>
    <row r="295" spans="1:34">
      <c r="A295" s="13" t="str">
        <f t="shared" si="24"/>
        <v>OverStock</v>
      </c>
      <c r="B295" s="14" t="s">
        <v>103</v>
      </c>
      <c r="C295" s="15" t="s">
        <v>46</v>
      </c>
      <c r="D295" s="19">
        <f t="shared" si="25"/>
        <v>8</v>
      </c>
      <c r="E295" s="16">
        <f t="shared" si="26"/>
        <v>4.5</v>
      </c>
      <c r="F295" s="16">
        <f t="shared" si="27"/>
        <v>16</v>
      </c>
      <c r="G295" s="16">
        <f t="shared" si="28"/>
        <v>9</v>
      </c>
      <c r="H295" s="24" t="str">
        <f>IFERROR(VLOOKUP(B295,#REF!,8,FALSE),"")</f>
        <v/>
      </c>
      <c r="I295" s="17">
        <v>5000</v>
      </c>
      <c r="J295" s="17">
        <v>5000</v>
      </c>
      <c r="K295" s="24" t="str">
        <f>IFERROR(VLOOKUP(B295,#REF!,11,FALSE),"")</f>
        <v/>
      </c>
      <c r="L295" s="17">
        <v>2500</v>
      </c>
      <c r="M295" s="6" t="s">
        <v>745</v>
      </c>
      <c r="N295" s="18" t="str">
        <f>IFERROR(VLOOKUP(B295,#REF!,13,FALSE),"")</f>
        <v/>
      </c>
      <c r="O295" s="19" t="str">
        <f>IFERROR(VLOOKUP(B295,#REF!,14,FALSE),"")</f>
        <v/>
      </c>
      <c r="P295" s="19" t="str">
        <f>IFERROR(VLOOKUP(B295,#REF!,15,FALSE),"")</f>
        <v/>
      </c>
      <c r="Q295" s="19"/>
      <c r="R295" s="25" t="str">
        <f>IFERROR(VLOOKUP(B295,#REF!,16,FALSE),"")</f>
        <v/>
      </c>
      <c r="S295" s="17">
        <v>0</v>
      </c>
      <c r="T295" s="17">
        <v>2500</v>
      </c>
      <c r="U295" s="17">
        <v>0</v>
      </c>
      <c r="V295" s="17">
        <v>0</v>
      </c>
      <c r="W295" s="20">
        <v>7500</v>
      </c>
      <c r="X295" s="16">
        <v>24</v>
      </c>
      <c r="Y295" s="21">
        <v>13.5</v>
      </c>
      <c r="Z295" s="20">
        <v>313</v>
      </c>
      <c r="AA295" s="17">
        <v>556</v>
      </c>
      <c r="AB295" s="22">
        <v>1.8</v>
      </c>
      <c r="AC295" s="23">
        <f t="shared" si="29"/>
        <v>100</v>
      </c>
      <c r="AD295" s="17">
        <v>0</v>
      </c>
      <c r="AE295" s="17">
        <v>5000</v>
      </c>
      <c r="AF295" s="17">
        <v>0</v>
      </c>
      <c r="AG295" s="17">
        <v>0</v>
      </c>
      <c r="AH295" s="15" t="s">
        <v>42</v>
      </c>
    </row>
    <row r="296" spans="1:34">
      <c r="A296" s="13" t="str">
        <f t="shared" si="24"/>
        <v>Normal</v>
      </c>
      <c r="B296" s="14" t="s">
        <v>104</v>
      </c>
      <c r="C296" s="15" t="s">
        <v>46</v>
      </c>
      <c r="D296" s="19">
        <f t="shared" si="25"/>
        <v>11.4</v>
      </c>
      <c r="E296" s="16" t="str">
        <f t="shared" si="26"/>
        <v>--</v>
      </c>
      <c r="F296" s="16">
        <f t="shared" si="27"/>
        <v>0</v>
      </c>
      <c r="G296" s="16" t="str">
        <f t="shared" si="28"/>
        <v>--</v>
      </c>
      <c r="H296" s="24" t="str">
        <f>IFERROR(VLOOKUP(B296,#REF!,8,FALSE),"")</f>
        <v/>
      </c>
      <c r="I296" s="17">
        <v>0</v>
      </c>
      <c r="J296" s="17">
        <v>0</v>
      </c>
      <c r="K296" s="24" t="str">
        <f>IFERROR(VLOOKUP(B296,#REF!,11,FALSE),"")</f>
        <v/>
      </c>
      <c r="L296" s="17">
        <v>7140</v>
      </c>
      <c r="M296" s="6" t="s">
        <v>745</v>
      </c>
      <c r="N296" s="18" t="str">
        <f>IFERROR(VLOOKUP(B296,#REF!,13,FALSE),"")</f>
        <v/>
      </c>
      <c r="O296" s="19" t="str">
        <f>IFERROR(VLOOKUP(B296,#REF!,14,FALSE),"")</f>
        <v/>
      </c>
      <c r="P296" s="19" t="str">
        <f>IFERROR(VLOOKUP(B296,#REF!,15,FALSE),"")</f>
        <v/>
      </c>
      <c r="Q296" s="19"/>
      <c r="R296" s="25" t="str">
        <f>IFERROR(VLOOKUP(B296,#REF!,16,FALSE),"")</f>
        <v/>
      </c>
      <c r="S296" s="17">
        <v>0</v>
      </c>
      <c r="T296" s="17">
        <v>7140</v>
      </c>
      <c r="U296" s="17">
        <v>0</v>
      </c>
      <c r="V296" s="17">
        <v>0</v>
      </c>
      <c r="W296" s="20">
        <v>7140</v>
      </c>
      <c r="X296" s="16">
        <v>11.4</v>
      </c>
      <c r="Y296" s="21" t="s">
        <v>40</v>
      </c>
      <c r="Z296" s="20">
        <v>625</v>
      </c>
      <c r="AA296" s="17">
        <v>0</v>
      </c>
      <c r="AB296" s="22" t="s">
        <v>41</v>
      </c>
      <c r="AC296" s="23" t="str">
        <f t="shared" si="29"/>
        <v>E</v>
      </c>
      <c r="AD296" s="17">
        <v>0</v>
      </c>
      <c r="AE296" s="17">
        <v>0</v>
      </c>
      <c r="AF296" s="17">
        <v>0</v>
      </c>
      <c r="AG296" s="17">
        <v>0</v>
      </c>
      <c r="AH296" s="15" t="s">
        <v>42</v>
      </c>
    </row>
    <row r="297" spans="1:34">
      <c r="A297" s="13" t="str">
        <f t="shared" si="24"/>
        <v>FCST</v>
      </c>
      <c r="B297" s="14" t="s">
        <v>106</v>
      </c>
      <c r="C297" s="15" t="s">
        <v>46</v>
      </c>
      <c r="D297" s="19" t="str">
        <f t="shared" si="25"/>
        <v>前八週無拉料</v>
      </c>
      <c r="E297" s="16">
        <f t="shared" si="26"/>
        <v>0</v>
      </c>
      <c r="F297" s="16" t="str">
        <f t="shared" si="27"/>
        <v>--</v>
      </c>
      <c r="G297" s="16">
        <f t="shared" si="28"/>
        <v>64.3</v>
      </c>
      <c r="H297" s="24" t="str">
        <f>IFERROR(VLOOKUP(B297,#REF!,8,FALSE),"")</f>
        <v/>
      </c>
      <c r="I297" s="17">
        <v>250000</v>
      </c>
      <c r="J297" s="17">
        <v>150000</v>
      </c>
      <c r="K297" s="24" t="str">
        <f>IFERROR(VLOOKUP(B297,#REF!,11,FALSE),"")</f>
        <v/>
      </c>
      <c r="L297" s="17">
        <v>0</v>
      </c>
      <c r="M297" s="6" t="s">
        <v>745</v>
      </c>
      <c r="N297" s="18" t="str">
        <f>IFERROR(VLOOKUP(B297,#REF!,13,FALSE),"")</f>
        <v/>
      </c>
      <c r="O297" s="19" t="str">
        <f>IFERROR(VLOOKUP(B297,#REF!,14,FALSE),"")</f>
        <v/>
      </c>
      <c r="P297" s="19" t="str">
        <f>IFERROR(VLOOKUP(B297,#REF!,15,FALSE),"")</f>
        <v/>
      </c>
      <c r="Q297" s="19"/>
      <c r="R297" s="25" t="str">
        <f>IFERROR(VLOOKUP(B297,#REF!,16,FALSE),"")</f>
        <v/>
      </c>
      <c r="S297" s="17">
        <v>0</v>
      </c>
      <c r="T297" s="17">
        <v>0</v>
      </c>
      <c r="U297" s="17">
        <v>0</v>
      </c>
      <c r="V297" s="17">
        <v>0</v>
      </c>
      <c r="W297" s="20">
        <v>250000</v>
      </c>
      <c r="X297" s="16" t="s">
        <v>40</v>
      </c>
      <c r="Y297" s="21">
        <v>64.3</v>
      </c>
      <c r="Z297" s="20">
        <v>0</v>
      </c>
      <c r="AA297" s="17">
        <v>3889</v>
      </c>
      <c r="AB297" s="22" t="s">
        <v>51</v>
      </c>
      <c r="AC297" s="23" t="str">
        <f t="shared" si="29"/>
        <v>F</v>
      </c>
      <c r="AD297" s="17">
        <v>4365</v>
      </c>
      <c r="AE297" s="17">
        <v>5000</v>
      </c>
      <c r="AF297" s="17">
        <v>30000</v>
      </c>
      <c r="AG297" s="17">
        <v>25000</v>
      </c>
      <c r="AH297" s="15" t="s">
        <v>42</v>
      </c>
    </row>
    <row r="298" spans="1:34">
      <c r="A298" s="13" t="str">
        <f t="shared" si="24"/>
        <v>OverStock</v>
      </c>
      <c r="B298" s="14" t="s">
        <v>107</v>
      </c>
      <c r="C298" s="15" t="s">
        <v>46</v>
      </c>
      <c r="D298" s="19">
        <f t="shared" si="25"/>
        <v>19.899999999999999</v>
      </c>
      <c r="E298" s="16">
        <f t="shared" si="26"/>
        <v>40.200000000000003</v>
      </c>
      <c r="F298" s="16">
        <f t="shared" si="27"/>
        <v>4.4000000000000004</v>
      </c>
      <c r="G298" s="16">
        <f t="shared" si="28"/>
        <v>9</v>
      </c>
      <c r="H298" s="24" t="str">
        <f>IFERROR(VLOOKUP(B298,#REF!,8,FALSE),"")</f>
        <v/>
      </c>
      <c r="I298" s="17">
        <v>50000</v>
      </c>
      <c r="J298" s="17">
        <v>50000</v>
      </c>
      <c r="K298" s="24" t="str">
        <f>IFERROR(VLOOKUP(B298,#REF!,11,FALSE),"")</f>
        <v/>
      </c>
      <c r="L298" s="17">
        <v>223600</v>
      </c>
      <c r="M298" s="6" t="s">
        <v>745</v>
      </c>
      <c r="N298" s="18" t="str">
        <f>IFERROR(VLOOKUP(B298,#REF!,13,FALSE),"")</f>
        <v/>
      </c>
      <c r="O298" s="19" t="str">
        <f>IFERROR(VLOOKUP(B298,#REF!,14,FALSE),"")</f>
        <v/>
      </c>
      <c r="P298" s="19" t="str">
        <f>IFERROR(VLOOKUP(B298,#REF!,15,FALSE),"")</f>
        <v/>
      </c>
      <c r="Q298" s="19"/>
      <c r="R298" s="25" t="str">
        <f>IFERROR(VLOOKUP(B298,#REF!,16,FALSE),"")</f>
        <v/>
      </c>
      <c r="S298" s="17">
        <v>0</v>
      </c>
      <c r="T298" s="17">
        <v>223600</v>
      </c>
      <c r="U298" s="17">
        <v>0</v>
      </c>
      <c r="V298" s="17">
        <v>0</v>
      </c>
      <c r="W298" s="20">
        <v>273600</v>
      </c>
      <c r="X298" s="16">
        <v>24.3</v>
      </c>
      <c r="Y298" s="21">
        <v>49.2</v>
      </c>
      <c r="Z298" s="20">
        <v>11250</v>
      </c>
      <c r="AA298" s="17">
        <v>5556</v>
      </c>
      <c r="AB298" s="22">
        <v>0.5</v>
      </c>
      <c r="AC298" s="23">
        <f t="shared" si="29"/>
        <v>100</v>
      </c>
      <c r="AD298" s="17">
        <v>0</v>
      </c>
      <c r="AE298" s="17">
        <v>10000</v>
      </c>
      <c r="AF298" s="17">
        <v>45000</v>
      </c>
      <c r="AG298" s="17">
        <v>0</v>
      </c>
      <c r="AH298" s="15" t="s">
        <v>42</v>
      </c>
    </row>
    <row r="299" spans="1:34">
      <c r="A299" s="13" t="str">
        <f t="shared" si="24"/>
        <v>OverStock</v>
      </c>
      <c r="B299" s="14" t="s">
        <v>110</v>
      </c>
      <c r="C299" s="15" t="s">
        <v>46</v>
      </c>
      <c r="D299" s="19">
        <f t="shared" si="25"/>
        <v>4.4000000000000004</v>
      </c>
      <c r="E299" s="16">
        <f t="shared" si="26"/>
        <v>7.4</v>
      </c>
      <c r="F299" s="16">
        <f t="shared" si="27"/>
        <v>18.7</v>
      </c>
      <c r="G299" s="16">
        <f t="shared" si="28"/>
        <v>31.5</v>
      </c>
      <c r="H299" s="24" t="str">
        <f>IFERROR(VLOOKUP(B299,#REF!,8,FALSE),"")</f>
        <v/>
      </c>
      <c r="I299" s="17">
        <v>35000</v>
      </c>
      <c r="J299" s="17">
        <v>25000</v>
      </c>
      <c r="K299" s="24" t="str">
        <f>IFERROR(VLOOKUP(B299,#REF!,11,FALSE),"")</f>
        <v/>
      </c>
      <c r="L299" s="17">
        <v>8250</v>
      </c>
      <c r="M299" s="6" t="s">
        <v>745</v>
      </c>
      <c r="N299" s="18" t="str">
        <f>IFERROR(VLOOKUP(B299,#REF!,13,FALSE),"")</f>
        <v/>
      </c>
      <c r="O299" s="19" t="str">
        <f>IFERROR(VLOOKUP(B299,#REF!,14,FALSE),"")</f>
        <v/>
      </c>
      <c r="P299" s="19" t="str">
        <f>IFERROR(VLOOKUP(B299,#REF!,15,FALSE),"")</f>
        <v/>
      </c>
      <c r="Q299" s="19"/>
      <c r="R299" s="25" t="str">
        <f>IFERROR(VLOOKUP(B299,#REF!,16,FALSE),"")</f>
        <v/>
      </c>
      <c r="S299" s="17">
        <v>0</v>
      </c>
      <c r="T299" s="17">
        <v>8250</v>
      </c>
      <c r="U299" s="17">
        <v>0</v>
      </c>
      <c r="V299" s="17">
        <v>0</v>
      </c>
      <c r="W299" s="20">
        <v>43250</v>
      </c>
      <c r="X299" s="16">
        <v>23.1</v>
      </c>
      <c r="Y299" s="21">
        <v>38.9</v>
      </c>
      <c r="Z299" s="20">
        <v>1875</v>
      </c>
      <c r="AA299" s="17">
        <v>1111</v>
      </c>
      <c r="AB299" s="22">
        <v>0.6</v>
      </c>
      <c r="AC299" s="23">
        <f t="shared" si="29"/>
        <v>100</v>
      </c>
      <c r="AD299" s="17">
        <v>0</v>
      </c>
      <c r="AE299" s="17">
        <v>5000</v>
      </c>
      <c r="AF299" s="17">
        <v>5000</v>
      </c>
      <c r="AG299" s="17">
        <v>0</v>
      </c>
      <c r="AH299" s="15" t="s">
        <v>42</v>
      </c>
    </row>
    <row r="300" spans="1:34">
      <c r="A300" s="13" t="str">
        <f t="shared" si="24"/>
        <v>None</v>
      </c>
      <c r="B300" s="14" t="s">
        <v>111</v>
      </c>
      <c r="C300" s="15" t="s">
        <v>46</v>
      </c>
      <c r="D300" s="19" t="str">
        <f t="shared" si="25"/>
        <v>前八週無拉料</v>
      </c>
      <c r="E300" s="16" t="str">
        <f t="shared" si="26"/>
        <v>--</v>
      </c>
      <c r="F300" s="16" t="str">
        <f t="shared" si="27"/>
        <v>--</v>
      </c>
      <c r="G300" s="16" t="str">
        <f t="shared" si="28"/>
        <v>--</v>
      </c>
      <c r="H300" s="24" t="str">
        <f>IFERROR(VLOOKUP(B300,#REF!,8,FALSE),"")</f>
        <v/>
      </c>
      <c r="I300" s="17">
        <v>0</v>
      </c>
      <c r="J300" s="17">
        <v>0</v>
      </c>
      <c r="K300" s="24" t="str">
        <f>IFERROR(VLOOKUP(B300,#REF!,11,FALSE),"")</f>
        <v/>
      </c>
      <c r="L300" s="17">
        <v>0</v>
      </c>
      <c r="M300" s="6" t="s">
        <v>745</v>
      </c>
      <c r="N300" s="18" t="str">
        <f>IFERROR(VLOOKUP(B300,#REF!,13,FALSE),"")</f>
        <v/>
      </c>
      <c r="O300" s="19" t="str">
        <f>IFERROR(VLOOKUP(B300,#REF!,14,FALSE),"")</f>
        <v/>
      </c>
      <c r="P300" s="19" t="str">
        <f>IFERROR(VLOOKUP(B300,#REF!,15,FALSE),"")</f>
        <v/>
      </c>
      <c r="Q300" s="19"/>
      <c r="R300" s="25" t="str">
        <f>IFERROR(VLOOKUP(B300,#REF!,16,FALSE),"")</f>
        <v/>
      </c>
      <c r="S300" s="17">
        <v>0</v>
      </c>
      <c r="T300" s="17">
        <v>0</v>
      </c>
      <c r="U300" s="17">
        <v>0</v>
      </c>
      <c r="V300" s="17">
        <v>0</v>
      </c>
      <c r="W300" s="20">
        <v>0</v>
      </c>
      <c r="X300" s="16" t="s">
        <v>40</v>
      </c>
      <c r="Y300" s="21" t="s">
        <v>40</v>
      </c>
      <c r="Z300" s="20">
        <v>0</v>
      </c>
      <c r="AA300" s="17" t="s">
        <v>40</v>
      </c>
      <c r="AB300" s="22" t="s">
        <v>41</v>
      </c>
      <c r="AC300" s="23" t="str">
        <f t="shared" si="29"/>
        <v>E</v>
      </c>
      <c r="AD300" s="17">
        <v>0</v>
      </c>
      <c r="AE300" s="17">
        <v>0</v>
      </c>
      <c r="AF300" s="17">
        <v>0</v>
      </c>
      <c r="AG300" s="17">
        <v>0</v>
      </c>
      <c r="AH300" s="15" t="s">
        <v>42</v>
      </c>
    </row>
    <row r="301" spans="1:34">
      <c r="A301" s="13" t="str">
        <f t="shared" si="24"/>
        <v>None</v>
      </c>
      <c r="B301" s="14" t="s">
        <v>112</v>
      </c>
      <c r="C301" s="15" t="s">
        <v>46</v>
      </c>
      <c r="D301" s="19" t="str">
        <f t="shared" si="25"/>
        <v>前八週無拉料</v>
      </c>
      <c r="E301" s="16" t="str">
        <f t="shared" si="26"/>
        <v>--</v>
      </c>
      <c r="F301" s="16" t="str">
        <f t="shared" si="27"/>
        <v>--</v>
      </c>
      <c r="G301" s="16" t="str">
        <f t="shared" si="28"/>
        <v>--</v>
      </c>
      <c r="H301" s="24" t="str">
        <f>IFERROR(VLOOKUP(B301,#REF!,8,FALSE),"")</f>
        <v/>
      </c>
      <c r="I301" s="17">
        <v>0</v>
      </c>
      <c r="J301" s="17">
        <v>0</v>
      </c>
      <c r="K301" s="24" t="str">
        <f>IFERROR(VLOOKUP(B301,#REF!,11,FALSE),"")</f>
        <v/>
      </c>
      <c r="L301" s="17">
        <v>0</v>
      </c>
      <c r="M301" s="6" t="s">
        <v>745</v>
      </c>
      <c r="N301" s="18" t="str">
        <f>IFERROR(VLOOKUP(B301,#REF!,13,FALSE),"")</f>
        <v/>
      </c>
      <c r="O301" s="19" t="str">
        <f>IFERROR(VLOOKUP(B301,#REF!,14,FALSE),"")</f>
        <v/>
      </c>
      <c r="P301" s="19" t="str">
        <f>IFERROR(VLOOKUP(B301,#REF!,15,FALSE),"")</f>
        <v/>
      </c>
      <c r="Q301" s="19"/>
      <c r="R301" s="25" t="str">
        <f>IFERROR(VLOOKUP(B301,#REF!,16,FALSE),"")</f>
        <v/>
      </c>
      <c r="S301" s="17">
        <v>0</v>
      </c>
      <c r="T301" s="17">
        <v>0</v>
      </c>
      <c r="U301" s="17">
        <v>0</v>
      </c>
      <c r="V301" s="17">
        <v>0</v>
      </c>
      <c r="W301" s="20">
        <v>0</v>
      </c>
      <c r="X301" s="16" t="s">
        <v>40</v>
      </c>
      <c r="Y301" s="21" t="s">
        <v>40</v>
      </c>
      <c r="Z301" s="20">
        <v>0</v>
      </c>
      <c r="AA301" s="17">
        <v>0</v>
      </c>
      <c r="AB301" s="22" t="s">
        <v>41</v>
      </c>
      <c r="AC301" s="23" t="str">
        <f t="shared" si="29"/>
        <v>E</v>
      </c>
      <c r="AD301" s="17">
        <v>0</v>
      </c>
      <c r="AE301" s="17">
        <v>0</v>
      </c>
      <c r="AF301" s="17">
        <v>0</v>
      </c>
      <c r="AG301" s="17">
        <v>0</v>
      </c>
      <c r="AH301" s="15" t="s">
        <v>42</v>
      </c>
    </row>
    <row r="302" spans="1:34">
      <c r="A302" s="13" t="str">
        <f t="shared" si="24"/>
        <v>Normal</v>
      </c>
      <c r="B302" s="14" t="s">
        <v>115</v>
      </c>
      <c r="C302" s="15" t="s">
        <v>46</v>
      </c>
      <c r="D302" s="19">
        <f t="shared" si="25"/>
        <v>6.2</v>
      </c>
      <c r="E302" s="16">
        <f t="shared" si="26"/>
        <v>9</v>
      </c>
      <c r="F302" s="16">
        <f t="shared" si="27"/>
        <v>3.6</v>
      </c>
      <c r="G302" s="16">
        <f t="shared" si="28"/>
        <v>5.3</v>
      </c>
      <c r="H302" s="24" t="str">
        <f>IFERROR(VLOOKUP(B302,#REF!,8,FALSE),"")</f>
        <v/>
      </c>
      <c r="I302" s="17">
        <v>100000</v>
      </c>
      <c r="J302" s="17">
        <v>0</v>
      </c>
      <c r="K302" s="24" t="str">
        <f>IFERROR(VLOOKUP(B302,#REF!,11,FALSE),"")</f>
        <v/>
      </c>
      <c r="L302" s="17">
        <v>170000</v>
      </c>
      <c r="M302" s="6" t="s">
        <v>745</v>
      </c>
      <c r="N302" s="18" t="str">
        <f>IFERROR(VLOOKUP(B302,#REF!,13,FALSE),"")</f>
        <v/>
      </c>
      <c r="O302" s="19" t="str">
        <f>IFERROR(VLOOKUP(B302,#REF!,14,FALSE),"")</f>
        <v/>
      </c>
      <c r="P302" s="19" t="str">
        <f>IFERROR(VLOOKUP(B302,#REF!,15,FALSE),"")</f>
        <v/>
      </c>
      <c r="Q302" s="19"/>
      <c r="R302" s="25" t="str">
        <f>IFERROR(VLOOKUP(B302,#REF!,16,FALSE),"")</f>
        <v/>
      </c>
      <c r="S302" s="17">
        <v>0</v>
      </c>
      <c r="T302" s="17">
        <v>170000</v>
      </c>
      <c r="U302" s="17">
        <v>0</v>
      </c>
      <c r="V302" s="17">
        <v>0</v>
      </c>
      <c r="W302" s="20">
        <v>270000</v>
      </c>
      <c r="X302" s="16">
        <v>9.8000000000000007</v>
      </c>
      <c r="Y302" s="21">
        <v>14.3</v>
      </c>
      <c r="Z302" s="20">
        <v>27500</v>
      </c>
      <c r="AA302" s="17">
        <v>18889</v>
      </c>
      <c r="AB302" s="22">
        <v>0.7</v>
      </c>
      <c r="AC302" s="23">
        <f t="shared" si="29"/>
        <v>100</v>
      </c>
      <c r="AD302" s="17">
        <v>5000</v>
      </c>
      <c r="AE302" s="17">
        <v>95000</v>
      </c>
      <c r="AF302" s="17">
        <v>70000</v>
      </c>
      <c r="AG302" s="17">
        <v>10000</v>
      </c>
      <c r="AH302" s="15" t="s">
        <v>42</v>
      </c>
    </row>
    <row r="303" spans="1:34">
      <c r="A303" s="13" t="str">
        <f t="shared" si="24"/>
        <v>OverStock</v>
      </c>
      <c r="B303" s="14" t="s">
        <v>116</v>
      </c>
      <c r="C303" s="15" t="s">
        <v>46</v>
      </c>
      <c r="D303" s="19">
        <f t="shared" si="25"/>
        <v>23.3</v>
      </c>
      <c r="E303" s="16">
        <f t="shared" si="26"/>
        <v>11</v>
      </c>
      <c r="F303" s="16">
        <f t="shared" si="27"/>
        <v>13.9</v>
      </c>
      <c r="G303" s="16">
        <f t="shared" si="28"/>
        <v>6.5</v>
      </c>
      <c r="H303" s="24" t="str">
        <f>IFERROR(VLOOKUP(B303,#REF!,8,FALSE),"")</f>
        <v/>
      </c>
      <c r="I303" s="17">
        <v>100000</v>
      </c>
      <c r="J303" s="17">
        <v>0</v>
      </c>
      <c r="K303" s="24" t="str">
        <f>IFERROR(VLOOKUP(B303,#REF!,11,FALSE),"")</f>
        <v/>
      </c>
      <c r="L303" s="17">
        <v>167500</v>
      </c>
      <c r="M303" s="6" t="s">
        <v>745</v>
      </c>
      <c r="N303" s="18" t="str">
        <f>IFERROR(VLOOKUP(B303,#REF!,13,FALSE),"")</f>
        <v/>
      </c>
      <c r="O303" s="19" t="str">
        <f>IFERROR(VLOOKUP(B303,#REF!,14,FALSE),"")</f>
        <v/>
      </c>
      <c r="P303" s="19" t="str">
        <f>IFERROR(VLOOKUP(B303,#REF!,15,FALSE),"")</f>
        <v/>
      </c>
      <c r="Q303" s="19"/>
      <c r="R303" s="25" t="str">
        <f>IFERROR(VLOOKUP(B303,#REF!,16,FALSE),"")</f>
        <v/>
      </c>
      <c r="S303" s="17">
        <v>0</v>
      </c>
      <c r="T303" s="17">
        <v>167500</v>
      </c>
      <c r="U303" s="17">
        <v>0</v>
      </c>
      <c r="V303" s="17">
        <v>0</v>
      </c>
      <c r="W303" s="20">
        <v>267500</v>
      </c>
      <c r="X303" s="16">
        <v>37.200000000000003</v>
      </c>
      <c r="Y303" s="21">
        <v>17.5</v>
      </c>
      <c r="Z303" s="20">
        <v>7188</v>
      </c>
      <c r="AA303" s="17">
        <v>15277</v>
      </c>
      <c r="AB303" s="22">
        <v>2.1</v>
      </c>
      <c r="AC303" s="23">
        <f t="shared" si="29"/>
        <v>150</v>
      </c>
      <c r="AD303" s="17">
        <v>0</v>
      </c>
      <c r="AE303" s="17">
        <v>87500</v>
      </c>
      <c r="AF303" s="17">
        <v>50000</v>
      </c>
      <c r="AG303" s="17">
        <v>30000</v>
      </c>
      <c r="AH303" s="15" t="s">
        <v>42</v>
      </c>
    </row>
    <row r="304" spans="1:34">
      <c r="A304" s="13" t="str">
        <f t="shared" si="24"/>
        <v>ZeroZero</v>
      </c>
      <c r="B304" s="14" t="s">
        <v>117</v>
      </c>
      <c r="C304" s="15" t="s">
        <v>46</v>
      </c>
      <c r="D304" s="19" t="str">
        <f t="shared" si="25"/>
        <v>前八週無拉料</v>
      </c>
      <c r="E304" s="16" t="str">
        <f t="shared" si="26"/>
        <v>--</v>
      </c>
      <c r="F304" s="16" t="str">
        <f t="shared" si="27"/>
        <v>--</v>
      </c>
      <c r="G304" s="16" t="str">
        <f t="shared" si="28"/>
        <v>--</v>
      </c>
      <c r="H304" s="24" t="str">
        <f>IFERROR(VLOOKUP(B304,#REF!,8,FALSE),"")</f>
        <v/>
      </c>
      <c r="I304" s="17">
        <v>2500</v>
      </c>
      <c r="J304" s="17">
        <v>0</v>
      </c>
      <c r="K304" s="24" t="str">
        <f>IFERROR(VLOOKUP(B304,#REF!,11,FALSE),"")</f>
        <v/>
      </c>
      <c r="L304" s="17">
        <v>0</v>
      </c>
      <c r="M304" s="6" t="s">
        <v>745</v>
      </c>
      <c r="N304" s="18" t="str">
        <f>IFERROR(VLOOKUP(B304,#REF!,13,FALSE),"")</f>
        <v/>
      </c>
      <c r="O304" s="19" t="str">
        <f>IFERROR(VLOOKUP(B304,#REF!,14,FALSE),"")</f>
        <v/>
      </c>
      <c r="P304" s="19" t="str">
        <f>IFERROR(VLOOKUP(B304,#REF!,15,FALSE),"")</f>
        <v/>
      </c>
      <c r="Q304" s="19"/>
      <c r="R304" s="25" t="str">
        <f>IFERROR(VLOOKUP(B304,#REF!,16,FALSE),"")</f>
        <v/>
      </c>
      <c r="S304" s="17">
        <v>0</v>
      </c>
      <c r="T304" s="17">
        <v>0</v>
      </c>
      <c r="U304" s="17">
        <v>0</v>
      </c>
      <c r="V304" s="17">
        <v>0</v>
      </c>
      <c r="W304" s="20">
        <v>2500</v>
      </c>
      <c r="X304" s="16" t="s">
        <v>40</v>
      </c>
      <c r="Y304" s="21" t="s">
        <v>40</v>
      </c>
      <c r="Z304" s="20">
        <v>0</v>
      </c>
      <c r="AA304" s="17" t="s">
        <v>40</v>
      </c>
      <c r="AB304" s="22" t="s">
        <v>41</v>
      </c>
      <c r="AC304" s="23" t="str">
        <f t="shared" si="29"/>
        <v>E</v>
      </c>
      <c r="AD304" s="17">
        <v>0</v>
      </c>
      <c r="AE304" s="17">
        <v>0</v>
      </c>
      <c r="AF304" s="17">
        <v>0</v>
      </c>
      <c r="AG304" s="17">
        <v>0</v>
      </c>
      <c r="AH304" s="15" t="s">
        <v>42</v>
      </c>
    </row>
    <row r="305" spans="1:34">
      <c r="A305" s="13" t="str">
        <f t="shared" si="24"/>
        <v>OverStock</v>
      </c>
      <c r="B305" s="14" t="s">
        <v>118</v>
      </c>
      <c r="C305" s="15" t="s">
        <v>46</v>
      </c>
      <c r="D305" s="19">
        <f t="shared" si="25"/>
        <v>104</v>
      </c>
      <c r="E305" s="16" t="str">
        <f t="shared" si="26"/>
        <v>--</v>
      </c>
      <c r="F305" s="16">
        <f t="shared" si="27"/>
        <v>0</v>
      </c>
      <c r="G305" s="16" t="str">
        <f t="shared" si="28"/>
        <v>--</v>
      </c>
      <c r="H305" s="24" t="str">
        <f>IFERROR(VLOOKUP(B305,#REF!,8,FALSE),"")</f>
        <v/>
      </c>
      <c r="I305" s="17">
        <v>0</v>
      </c>
      <c r="J305" s="17">
        <v>0</v>
      </c>
      <c r="K305" s="24" t="str">
        <f>IFERROR(VLOOKUP(B305,#REF!,11,FALSE),"")</f>
        <v/>
      </c>
      <c r="L305" s="17">
        <v>65000</v>
      </c>
      <c r="M305" s="6" t="s">
        <v>745</v>
      </c>
      <c r="N305" s="18" t="str">
        <f>IFERROR(VLOOKUP(B305,#REF!,13,FALSE),"")</f>
        <v/>
      </c>
      <c r="O305" s="19" t="str">
        <f>IFERROR(VLOOKUP(B305,#REF!,14,FALSE),"")</f>
        <v/>
      </c>
      <c r="P305" s="19" t="str">
        <f>IFERROR(VLOOKUP(B305,#REF!,15,FALSE),"")</f>
        <v/>
      </c>
      <c r="Q305" s="19"/>
      <c r="R305" s="25" t="str">
        <f>IFERROR(VLOOKUP(B305,#REF!,16,FALSE),"")</f>
        <v/>
      </c>
      <c r="S305" s="17">
        <v>0</v>
      </c>
      <c r="T305" s="17">
        <v>65000</v>
      </c>
      <c r="U305" s="17">
        <v>0</v>
      </c>
      <c r="V305" s="17">
        <v>0</v>
      </c>
      <c r="W305" s="20">
        <v>65000</v>
      </c>
      <c r="X305" s="16">
        <v>104</v>
      </c>
      <c r="Y305" s="21" t="s">
        <v>40</v>
      </c>
      <c r="Z305" s="20">
        <v>625</v>
      </c>
      <c r="AA305" s="17" t="s">
        <v>40</v>
      </c>
      <c r="AB305" s="22" t="s">
        <v>41</v>
      </c>
      <c r="AC305" s="23" t="str">
        <f t="shared" si="29"/>
        <v>E</v>
      </c>
      <c r="AD305" s="17">
        <v>0</v>
      </c>
      <c r="AE305" s="17">
        <v>0</v>
      </c>
      <c r="AF305" s="17">
        <v>0</v>
      </c>
      <c r="AG305" s="17">
        <v>0</v>
      </c>
      <c r="AH305" s="15" t="s">
        <v>42</v>
      </c>
    </row>
    <row r="306" spans="1:34">
      <c r="A306" s="13" t="str">
        <f t="shared" si="24"/>
        <v>Normal</v>
      </c>
      <c r="B306" s="14" t="s">
        <v>119</v>
      </c>
      <c r="C306" s="15" t="s">
        <v>46</v>
      </c>
      <c r="D306" s="19">
        <f t="shared" si="25"/>
        <v>9.8000000000000007</v>
      </c>
      <c r="E306" s="16">
        <f t="shared" si="26"/>
        <v>24.5</v>
      </c>
      <c r="F306" s="16">
        <f t="shared" si="27"/>
        <v>0</v>
      </c>
      <c r="G306" s="16">
        <f t="shared" si="28"/>
        <v>0</v>
      </c>
      <c r="H306" s="24" t="str">
        <f>IFERROR(VLOOKUP(B306,#REF!,8,FALSE),"")</f>
        <v/>
      </c>
      <c r="I306" s="17">
        <v>0</v>
      </c>
      <c r="J306" s="17">
        <v>0</v>
      </c>
      <c r="K306" s="24" t="str">
        <f>IFERROR(VLOOKUP(B306,#REF!,11,FALSE),"")</f>
        <v/>
      </c>
      <c r="L306" s="17">
        <v>147000</v>
      </c>
      <c r="M306" s="6" t="s">
        <v>745</v>
      </c>
      <c r="N306" s="18" t="str">
        <f>IFERROR(VLOOKUP(B306,#REF!,13,FALSE),"")</f>
        <v/>
      </c>
      <c r="O306" s="19" t="str">
        <f>IFERROR(VLOOKUP(B306,#REF!,14,FALSE),"")</f>
        <v/>
      </c>
      <c r="P306" s="19" t="str">
        <f>IFERROR(VLOOKUP(B306,#REF!,15,FALSE),"")</f>
        <v/>
      </c>
      <c r="Q306" s="19"/>
      <c r="R306" s="25" t="str">
        <f>IFERROR(VLOOKUP(B306,#REF!,16,FALSE),"")</f>
        <v/>
      </c>
      <c r="S306" s="17">
        <v>0</v>
      </c>
      <c r="T306" s="17">
        <v>147000</v>
      </c>
      <c r="U306" s="17">
        <v>0</v>
      </c>
      <c r="V306" s="17">
        <v>0</v>
      </c>
      <c r="W306" s="20">
        <v>147000</v>
      </c>
      <c r="X306" s="16">
        <v>9.8000000000000007</v>
      </c>
      <c r="Y306" s="21">
        <v>24.5</v>
      </c>
      <c r="Z306" s="20">
        <v>15000</v>
      </c>
      <c r="AA306" s="17">
        <v>6000</v>
      </c>
      <c r="AB306" s="22">
        <v>0.4</v>
      </c>
      <c r="AC306" s="23">
        <f t="shared" si="29"/>
        <v>50</v>
      </c>
      <c r="AD306" s="17">
        <v>3000</v>
      </c>
      <c r="AE306" s="17">
        <v>42000</v>
      </c>
      <c r="AF306" s="17">
        <v>9000</v>
      </c>
      <c r="AG306" s="17">
        <v>0</v>
      </c>
      <c r="AH306" s="15" t="s">
        <v>42</v>
      </c>
    </row>
    <row r="307" spans="1:34">
      <c r="A307" s="13" t="str">
        <f t="shared" si="24"/>
        <v>Normal</v>
      </c>
      <c r="B307" s="14" t="s">
        <v>121</v>
      </c>
      <c r="C307" s="15" t="s">
        <v>46</v>
      </c>
      <c r="D307" s="19">
        <f t="shared" si="25"/>
        <v>6.8</v>
      </c>
      <c r="E307" s="16">
        <f t="shared" si="26"/>
        <v>21.4</v>
      </c>
      <c r="F307" s="16">
        <f t="shared" si="27"/>
        <v>0</v>
      </c>
      <c r="G307" s="16">
        <f t="shared" si="28"/>
        <v>0</v>
      </c>
      <c r="H307" s="24" t="str">
        <f>IFERROR(VLOOKUP(B307,#REF!,8,FALSE),"")</f>
        <v/>
      </c>
      <c r="I307" s="17">
        <v>0</v>
      </c>
      <c r="J307" s="17">
        <v>0</v>
      </c>
      <c r="K307" s="24" t="str">
        <f>IFERROR(VLOOKUP(B307,#REF!,11,FALSE),"")</f>
        <v/>
      </c>
      <c r="L307" s="17">
        <v>648000</v>
      </c>
      <c r="M307" s="6" t="s">
        <v>745</v>
      </c>
      <c r="N307" s="18" t="str">
        <f>IFERROR(VLOOKUP(B307,#REF!,13,FALSE),"")</f>
        <v/>
      </c>
      <c r="O307" s="19" t="str">
        <f>IFERROR(VLOOKUP(B307,#REF!,14,FALSE),"")</f>
        <v/>
      </c>
      <c r="P307" s="19" t="str">
        <f>IFERROR(VLOOKUP(B307,#REF!,15,FALSE),"")</f>
        <v/>
      </c>
      <c r="Q307" s="19"/>
      <c r="R307" s="25" t="str">
        <f>IFERROR(VLOOKUP(B307,#REF!,16,FALSE),"")</f>
        <v/>
      </c>
      <c r="S307" s="17">
        <v>0</v>
      </c>
      <c r="T307" s="17">
        <v>648000</v>
      </c>
      <c r="U307" s="17">
        <v>0</v>
      </c>
      <c r="V307" s="17">
        <v>0</v>
      </c>
      <c r="W307" s="20">
        <v>648000</v>
      </c>
      <c r="X307" s="16">
        <v>6.8</v>
      </c>
      <c r="Y307" s="21">
        <v>21.4</v>
      </c>
      <c r="Z307" s="20">
        <v>94875</v>
      </c>
      <c r="AA307" s="17">
        <v>30333</v>
      </c>
      <c r="AB307" s="22">
        <v>0.3</v>
      </c>
      <c r="AC307" s="23">
        <f t="shared" si="29"/>
        <v>50</v>
      </c>
      <c r="AD307" s="17">
        <v>0</v>
      </c>
      <c r="AE307" s="17">
        <v>273000</v>
      </c>
      <c r="AF307" s="17">
        <v>0</v>
      </c>
      <c r="AG307" s="17">
        <v>0</v>
      </c>
      <c r="AH307" s="15" t="s">
        <v>42</v>
      </c>
    </row>
    <row r="308" spans="1:34">
      <c r="A308" s="13" t="str">
        <f t="shared" si="24"/>
        <v>OverStock</v>
      </c>
      <c r="B308" s="14" t="s">
        <v>124</v>
      </c>
      <c r="C308" s="15" t="s">
        <v>46</v>
      </c>
      <c r="D308" s="19">
        <f t="shared" si="25"/>
        <v>160</v>
      </c>
      <c r="E308" s="16" t="str">
        <f t="shared" si="26"/>
        <v>--</v>
      </c>
      <c r="F308" s="16">
        <f t="shared" si="27"/>
        <v>0</v>
      </c>
      <c r="G308" s="16" t="str">
        <f t="shared" si="28"/>
        <v>--</v>
      </c>
      <c r="H308" s="24" t="str">
        <f>IFERROR(VLOOKUP(B308,#REF!,8,FALSE),"")</f>
        <v/>
      </c>
      <c r="I308" s="17">
        <v>0</v>
      </c>
      <c r="J308" s="17">
        <v>0</v>
      </c>
      <c r="K308" s="24" t="str">
        <f>IFERROR(VLOOKUP(B308,#REF!,11,FALSE),"")</f>
        <v/>
      </c>
      <c r="L308" s="17">
        <v>100000</v>
      </c>
      <c r="M308" s="6" t="s">
        <v>745</v>
      </c>
      <c r="N308" s="18" t="str">
        <f>IFERROR(VLOOKUP(B308,#REF!,13,FALSE),"")</f>
        <v/>
      </c>
      <c r="O308" s="19" t="str">
        <f>IFERROR(VLOOKUP(B308,#REF!,14,FALSE),"")</f>
        <v/>
      </c>
      <c r="P308" s="19" t="str">
        <f>IFERROR(VLOOKUP(B308,#REF!,15,FALSE),"")</f>
        <v/>
      </c>
      <c r="Q308" s="19"/>
      <c r="R308" s="25" t="str">
        <f>IFERROR(VLOOKUP(B308,#REF!,16,FALSE),"")</f>
        <v/>
      </c>
      <c r="S308" s="17">
        <v>0</v>
      </c>
      <c r="T308" s="17">
        <v>100000</v>
      </c>
      <c r="U308" s="17">
        <v>0</v>
      </c>
      <c r="V308" s="17">
        <v>0</v>
      </c>
      <c r="W308" s="20">
        <v>100000</v>
      </c>
      <c r="X308" s="16">
        <v>160</v>
      </c>
      <c r="Y308" s="21" t="s">
        <v>40</v>
      </c>
      <c r="Z308" s="20">
        <v>625</v>
      </c>
      <c r="AA308" s="17" t="s">
        <v>40</v>
      </c>
      <c r="AB308" s="22" t="s">
        <v>41</v>
      </c>
      <c r="AC308" s="23" t="str">
        <f t="shared" si="29"/>
        <v>E</v>
      </c>
      <c r="AD308" s="17">
        <v>0</v>
      </c>
      <c r="AE308" s="17">
        <v>0</v>
      </c>
      <c r="AF308" s="17">
        <v>0</v>
      </c>
      <c r="AG308" s="17">
        <v>0</v>
      </c>
      <c r="AH308" s="15" t="s">
        <v>42</v>
      </c>
    </row>
    <row r="309" spans="1:34">
      <c r="A309" s="13" t="str">
        <f t="shared" si="24"/>
        <v>Normal</v>
      </c>
      <c r="B309" s="14" t="s">
        <v>125</v>
      </c>
      <c r="C309" s="15" t="s">
        <v>46</v>
      </c>
      <c r="D309" s="19">
        <f t="shared" si="25"/>
        <v>0.3</v>
      </c>
      <c r="E309" s="16">
        <f t="shared" si="26"/>
        <v>1.5</v>
      </c>
      <c r="F309" s="16">
        <f t="shared" si="27"/>
        <v>7</v>
      </c>
      <c r="G309" s="16">
        <f t="shared" si="28"/>
        <v>42</v>
      </c>
      <c r="H309" s="24" t="str">
        <f>IFERROR(VLOOKUP(B309,#REF!,8,FALSE),"")</f>
        <v/>
      </c>
      <c r="I309" s="17">
        <v>84000</v>
      </c>
      <c r="J309" s="17">
        <v>42000</v>
      </c>
      <c r="K309" s="24" t="str">
        <f>IFERROR(VLOOKUP(B309,#REF!,11,FALSE),"")</f>
        <v/>
      </c>
      <c r="L309" s="17">
        <v>3000</v>
      </c>
      <c r="M309" s="6" t="s">
        <v>745</v>
      </c>
      <c r="N309" s="18" t="str">
        <f>IFERROR(VLOOKUP(B309,#REF!,13,FALSE),"")</f>
        <v/>
      </c>
      <c r="O309" s="19" t="str">
        <f>IFERROR(VLOOKUP(B309,#REF!,14,FALSE),"")</f>
        <v/>
      </c>
      <c r="P309" s="19" t="str">
        <f>IFERROR(VLOOKUP(B309,#REF!,15,FALSE),"")</f>
        <v/>
      </c>
      <c r="Q309" s="19"/>
      <c r="R309" s="25" t="str">
        <f>IFERROR(VLOOKUP(B309,#REF!,16,FALSE),"")</f>
        <v/>
      </c>
      <c r="S309" s="17">
        <v>0</v>
      </c>
      <c r="T309" s="17">
        <v>3000</v>
      </c>
      <c r="U309" s="17">
        <v>0</v>
      </c>
      <c r="V309" s="17">
        <v>0</v>
      </c>
      <c r="W309" s="20">
        <v>87000</v>
      </c>
      <c r="X309" s="16">
        <v>7.3</v>
      </c>
      <c r="Y309" s="21">
        <v>43.5</v>
      </c>
      <c r="Z309" s="20">
        <v>12000</v>
      </c>
      <c r="AA309" s="17">
        <v>2000</v>
      </c>
      <c r="AB309" s="22">
        <v>0.2</v>
      </c>
      <c r="AC309" s="23">
        <f t="shared" si="29"/>
        <v>50</v>
      </c>
      <c r="AD309" s="17">
        <v>3000</v>
      </c>
      <c r="AE309" s="17">
        <v>9000</v>
      </c>
      <c r="AF309" s="17">
        <v>6000</v>
      </c>
      <c r="AG309" s="17">
        <v>12000</v>
      </c>
      <c r="AH309" s="15" t="s">
        <v>42</v>
      </c>
    </row>
    <row r="310" spans="1:34">
      <c r="A310" s="13" t="str">
        <f t="shared" si="24"/>
        <v>Normal</v>
      </c>
      <c r="B310" s="14" t="s">
        <v>126</v>
      </c>
      <c r="C310" s="15" t="s">
        <v>46</v>
      </c>
      <c r="D310" s="19">
        <f t="shared" si="25"/>
        <v>1.9</v>
      </c>
      <c r="E310" s="16">
        <f t="shared" si="26"/>
        <v>6.8</v>
      </c>
      <c r="F310" s="16">
        <f t="shared" si="27"/>
        <v>3.4</v>
      </c>
      <c r="G310" s="16">
        <f t="shared" si="28"/>
        <v>12.3</v>
      </c>
      <c r="H310" s="24" t="str">
        <f>IFERROR(VLOOKUP(B310,#REF!,8,FALSE),"")</f>
        <v/>
      </c>
      <c r="I310" s="17">
        <v>420000</v>
      </c>
      <c r="J310" s="17">
        <v>0</v>
      </c>
      <c r="K310" s="24" t="str">
        <f>IFERROR(VLOOKUP(B310,#REF!,11,FALSE),"")</f>
        <v/>
      </c>
      <c r="L310" s="17">
        <v>230000</v>
      </c>
      <c r="M310" s="6" t="s">
        <v>745</v>
      </c>
      <c r="N310" s="18" t="str">
        <f>IFERROR(VLOOKUP(B310,#REF!,13,FALSE),"")</f>
        <v/>
      </c>
      <c r="O310" s="19" t="str">
        <f>IFERROR(VLOOKUP(B310,#REF!,14,FALSE),"")</f>
        <v/>
      </c>
      <c r="P310" s="19" t="str">
        <f>IFERROR(VLOOKUP(B310,#REF!,15,FALSE),"")</f>
        <v/>
      </c>
      <c r="Q310" s="19"/>
      <c r="R310" s="25" t="str">
        <f>IFERROR(VLOOKUP(B310,#REF!,16,FALSE),"")</f>
        <v/>
      </c>
      <c r="S310" s="17">
        <v>0</v>
      </c>
      <c r="T310" s="17">
        <v>230000</v>
      </c>
      <c r="U310" s="17">
        <v>0</v>
      </c>
      <c r="V310" s="17">
        <v>0</v>
      </c>
      <c r="W310" s="20">
        <v>650000</v>
      </c>
      <c r="X310" s="16">
        <v>5.3</v>
      </c>
      <c r="Y310" s="21">
        <v>19.100000000000001</v>
      </c>
      <c r="Z310" s="20">
        <v>123750</v>
      </c>
      <c r="AA310" s="17">
        <v>34067</v>
      </c>
      <c r="AB310" s="22">
        <v>0.3</v>
      </c>
      <c r="AC310" s="23">
        <f t="shared" si="29"/>
        <v>50</v>
      </c>
      <c r="AD310" s="17">
        <v>56598</v>
      </c>
      <c r="AE310" s="17">
        <v>230000</v>
      </c>
      <c r="AF310" s="17">
        <v>20000</v>
      </c>
      <c r="AG310" s="17">
        <v>0</v>
      </c>
      <c r="AH310" s="15" t="s">
        <v>42</v>
      </c>
    </row>
    <row r="311" spans="1:34">
      <c r="A311" s="13" t="str">
        <f t="shared" si="24"/>
        <v>OverStock</v>
      </c>
      <c r="B311" s="14" t="s">
        <v>128</v>
      </c>
      <c r="C311" s="15" t="s">
        <v>46</v>
      </c>
      <c r="D311" s="19">
        <f t="shared" si="25"/>
        <v>3.7</v>
      </c>
      <c r="E311" s="16">
        <f t="shared" si="26"/>
        <v>2.6</v>
      </c>
      <c r="F311" s="16">
        <f t="shared" si="27"/>
        <v>17.899999999999999</v>
      </c>
      <c r="G311" s="16">
        <f t="shared" si="28"/>
        <v>12.9</v>
      </c>
      <c r="H311" s="24" t="str">
        <f>IFERROR(VLOOKUP(B311,#REF!,8,FALSE),"")</f>
        <v/>
      </c>
      <c r="I311" s="17">
        <v>660000</v>
      </c>
      <c r="J311" s="17">
        <v>0</v>
      </c>
      <c r="K311" s="24" t="str">
        <f>IFERROR(VLOOKUP(B311,#REF!,11,FALSE),"")</f>
        <v/>
      </c>
      <c r="L311" s="17">
        <v>135000</v>
      </c>
      <c r="M311" s="6" t="s">
        <v>745</v>
      </c>
      <c r="N311" s="18" t="str">
        <f>IFERROR(VLOOKUP(B311,#REF!,13,FALSE),"")</f>
        <v/>
      </c>
      <c r="O311" s="19" t="str">
        <f>IFERROR(VLOOKUP(B311,#REF!,14,FALSE),"")</f>
        <v/>
      </c>
      <c r="P311" s="19" t="str">
        <f>IFERROR(VLOOKUP(B311,#REF!,15,FALSE),"")</f>
        <v/>
      </c>
      <c r="Q311" s="19"/>
      <c r="R311" s="25" t="str">
        <f>IFERROR(VLOOKUP(B311,#REF!,16,FALSE),"")</f>
        <v/>
      </c>
      <c r="S311" s="17">
        <v>0</v>
      </c>
      <c r="T311" s="17">
        <v>135000</v>
      </c>
      <c r="U311" s="17">
        <v>0</v>
      </c>
      <c r="V311" s="17">
        <v>0</v>
      </c>
      <c r="W311" s="20">
        <v>795000</v>
      </c>
      <c r="X311" s="16">
        <v>21.6</v>
      </c>
      <c r="Y311" s="21">
        <v>15.6</v>
      </c>
      <c r="Z311" s="20">
        <v>36838</v>
      </c>
      <c r="AA311" s="17">
        <v>51111</v>
      </c>
      <c r="AB311" s="22">
        <v>1.4</v>
      </c>
      <c r="AC311" s="23">
        <f t="shared" si="29"/>
        <v>100</v>
      </c>
      <c r="AD311" s="17">
        <v>300</v>
      </c>
      <c r="AE311" s="17">
        <v>415000</v>
      </c>
      <c r="AF311" s="17">
        <v>45000</v>
      </c>
      <c r="AG311" s="17">
        <v>0</v>
      </c>
      <c r="AH311" s="15" t="s">
        <v>42</v>
      </c>
    </row>
    <row r="312" spans="1:34">
      <c r="A312" s="13" t="str">
        <f t="shared" si="24"/>
        <v>Normal</v>
      </c>
      <c r="B312" s="14" t="s">
        <v>129</v>
      </c>
      <c r="C312" s="15" t="s">
        <v>46</v>
      </c>
      <c r="D312" s="19">
        <f t="shared" si="25"/>
        <v>3.3</v>
      </c>
      <c r="E312" s="16">
        <f t="shared" si="26"/>
        <v>13.4</v>
      </c>
      <c r="F312" s="16">
        <f t="shared" si="27"/>
        <v>0</v>
      </c>
      <c r="G312" s="16">
        <f t="shared" si="28"/>
        <v>0</v>
      </c>
      <c r="H312" s="24" t="str">
        <f>IFERROR(VLOOKUP(B312,#REF!,8,FALSE),"")</f>
        <v/>
      </c>
      <c r="I312" s="17">
        <v>0</v>
      </c>
      <c r="J312" s="17">
        <v>0</v>
      </c>
      <c r="K312" s="24" t="str">
        <f>IFERROR(VLOOKUP(B312,#REF!,11,FALSE),"")</f>
        <v/>
      </c>
      <c r="L312" s="17">
        <v>71580</v>
      </c>
      <c r="M312" s="6" t="s">
        <v>745</v>
      </c>
      <c r="N312" s="18" t="str">
        <f>IFERROR(VLOOKUP(B312,#REF!,13,FALSE),"")</f>
        <v/>
      </c>
      <c r="O312" s="19" t="str">
        <f>IFERROR(VLOOKUP(B312,#REF!,14,FALSE),"")</f>
        <v/>
      </c>
      <c r="P312" s="19" t="str">
        <f>IFERROR(VLOOKUP(B312,#REF!,15,FALSE),"")</f>
        <v/>
      </c>
      <c r="Q312" s="19"/>
      <c r="R312" s="25" t="str">
        <f>IFERROR(VLOOKUP(B312,#REF!,16,FALSE),"")</f>
        <v/>
      </c>
      <c r="S312" s="17">
        <v>0</v>
      </c>
      <c r="T312" s="17">
        <v>71580</v>
      </c>
      <c r="U312" s="17">
        <v>0</v>
      </c>
      <c r="V312" s="17">
        <v>0</v>
      </c>
      <c r="W312" s="20">
        <v>71580</v>
      </c>
      <c r="X312" s="16">
        <v>3.3</v>
      </c>
      <c r="Y312" s="21">
        <v>13.4</v>
      </c>
      <c r="Z312" s="20">
        <v>21375</v>
      </c>
      <c r="AA312" s="17">
        <v>5333</v>
      </c>
      <c r="AB312" s="22">
        <v>0.2</v>
      </c>
      <c r="AC312" s="23">
        <f t="shared" si="29"/>
        <v>50</v>
      </c>
      <c r="AD312" s="17">
        <v>3000</v>
      </c>
      <c r="AE312" s="17">
        <v>48000</v>
      </c>
      <c r="AF312" s="17">
        <v>0</v>
      </c>
      <c r="AG312" s="17">
        <v>27000</v>
      </c>
      <c r="AH312" s="15" t="s">
        <v>42</v>
      </c>
    </row>
    <row r="313" spans="1:34">
      <c r="A313" s="13" t="str">
        <f t="shared" si="24"/>
        <v>Normal</v>
      </c>
      <c r="B313" s="14" t="s">
        <v>130</v>
      </c>
      <c r="C313" s="15" t="s">
        <v>46</v>
      </c>
      <c r="D313" s="19">
        <f t="shared" si="25"/>
        <v>2.2000000000000002</v>
      </c>
      <c r="E313" s="16">
        <f t="shared" si="26"/>
        <v>7.3</v>
      </c>
      <c r="F313" s="16">
        <f t="shared" si="27"/>
        <v>7.1</v>
      </c>
      <c r="G313" s="16">
        <f t="shared" si="28"/>
        <v>22.8</v>
      </c>
      <c r="H313" s="24" t="str">
        <f>IFERROR(VLOOKUP(B313,#REF!,8,FALSE),"")</f>
        <v/>
      </c>
      <c r="I313" s="17">
        <v>548000</v>
      </c>
      <c r="J313" s="17">
        <v>348000</v>
      </c>
      <c r="K313" s="24" t="str">
        <f>IFERROR(VLOOKUP(B313,#REF!,11,FALSE),"")</f>
        <v/>
      </c>
      <c r="L313" s="17">
        <v>174000</v>
      </c>
      <c r="M313" s="6" t="s">
        <v>745</v>
      </c>
      <c r="N313" s="18" t="str">
        <f>IFERROR(VLOOKUP(B313,#REF!,13,FALSE),"")</f>
        <v/>
      </c>
      <c r="O313" s="19" t="str">
        <f>IFERROR(VLOOKUP(B313,#REF!,14,FALSE),"")</f>
        <v/>
      </c>
      <c r="P313" s="19" t="str">
        <f>IFERROR(VLOOKUP(B313,#REF!,15,FALSE),"")</f>
        <v/>
      </c>
      <c r="Q313" s="19"/>
      <c r="R313" s="25" t="str">
        <f>IFERROR(VLOOKUP(B313,#REF!,16,FALSE),"")</f>
        <v/>
      </c>
      <c r="S313" s="17">
        <v>0</v>
      </c>
      <c r="T313" s="17">
        <v>174000</v>
      </c>
      <c r="U313" s="17">
        <v>0</v>
      </c>
      <c r="V313" s="17">
        <v>0</v>
      </c>
      <c r="W313" s="20">
        <v>722000</v>
      </c>
      <c r="X313" s="16">
        <v>9.3000000000000007</v>
      </c>
      <c r="Y313" s="21">
        <v>30.1</v>
      </c>
      <c r="Z313" s="20">
        <v>77625</v>
      </c>
      <c r="AA313" s="17">
        <v>24000</v>
      </c>
      <c r="AB313" s="22">
        <v>0.3</v>
      </c>
      <c r="AC313" s="23">
        <f t="shared" si="29"/>
        <v>50</v>
      </c>
      <c r="AD313" s="17">
        <v>0</v>
      </c>
      <c r="AE313" s="17">
        <v>114000</v>
      </c>
      <c r="AF313" s="17">
        <v>114000</v>
      </c>
      <c r="AG313" s="17">
        <v>0</v>
      </c>
      <c r="AH313" s="15" t="s">
        <v>42</v>
      </c>
    </row>
    <row r="314" spans="1:34">
      <c r="A314" s="13" t="str">
        <f t="shared" si="24"/>
        <v>OverStock</v>
      </c>
      <c r="B314" s="14" t="s">
        <v>132</v>
      </c>
      <c r="C314" s="15" t="s">
        <v>46</v>
      </c>
      <c r="D314" s="19">
        <f t="shared" si="25"/>
        <v>8</v>
      </c>
      <c r="E314" s="16">
        <f t="shared" si="26"/>
        <v>0.9</v>
      </c>
      <c r="F314" s="16">
        <f t="shared" si="27"/>
        <v>44</v>
      </c>
      <c r="G314" s="16">
        <f t="shared" si="28"/>
        <v>5.2</v>
      </c>
      <c r="H314" s="24" t="str">
        <f>IFERROR(VLOOKUP(B314,#REF!,8,FALSE),"")</f>
        <v/>
      </c>
      <c r="I314" s="17">
        <v>33000</v>
      </c>
      <c r="J314" s="17">
        <v>33000</v>
      </c>
      <c r="K314" s="24" t="str">
        <f>IFERROR(VLOOKUP(B314,#REF!,11,FALSE),"")</f>
        <v/>
      </c>
      <c r="L314" s="17">
        <v>6000</v>
      </c>
      <c r="M314" s="6" t="s">
        <v>745</v>
      </c>
      <c r="N314" s="18" t="str">
        <f>IFERROR(VLOOKUP(B314,#REF!,13,FALSE),"")</f>
        <v/>
      </c>
      <c r="O314" s="19" t="str">
        <f>IFERROR(VLOOKUP(B314,#REF!,14,FALSE),"")</f>
        <v/>
      </c>
      <c r="P314" s="19" t="str">
        <f>IFERROR(VLOOKUP(B314,#REF!,15,FALSE),"")</f>
        <v/>
      </c>
      <c r="Q314" s="19"/>
      <c r="R314" s="25" t="str">
        <f>IFERROR(VLOOKUP(B314,#REF!,16,FALSE),"")</f>
        <v/>
      </c>
      <c r="S314" s="17">
        <v>0</v>
      </c>
      <c r="T314" s="17">
        <v>6000</v>
      </c>
      <c r="U314" s="17">
        <v>0</v>
      </c>
      <c r="V314" s="17">
        <v>0</v>
      </c>
      <c r="W314" s="20">
        <v>39000</v>
      </c>
      <c r="X314" s="16">
        <v>52</v>
      </c>
      <c r="Y314" s="21">
        <v>6.2</v>
      </c>
      <c r="Z314" s="20">
        <v>750</v>
      </c>
      <c r="AA314" s="17">
        <v>6333</v>
      </c>
      <c r="AB314" s="22">
        <v>8.4</v>
      </c>
      <c r="AC314" s="23">
        <f t="shared" si="29"/>
        <v>150</v>
      </c>
      <c r="AD314" s="17">
        <v>18000</v>
      </c>
      <c r="AE314" s="17">
        <v>24000</v>
      </c>
      <c r="AF314" s="17">
        <v>24000</v>
      </c>
      <c r="AG314" s="17">
        <v>13000</v>
      </c>
      <c r="AH314" s="15" t="s">
        <v>42</v>
      </c>
    </row>
    <row r="315" spans="1:34">
      <c r="A315" s="13" t="str">
        <f t="shared" si="24"/>
        <v>ZeroZero</v>
      </c>
      <c r="B315" s="14" t="s">
        <v>133</v>
      </c>
      <c r="C315" s="15" t="s">
        <v>46</v>
      </c>
      <c r="D315" s="19" t="str">
        <f t="shared" si="25"/>
        <v>前八週無拉料</v>
      </c>
      <c r="E315" s="16" t="str">
        <f t="shared" si="26"/>
        <v>--</v>
      </c>
      <c r="F315" s="16" t="str">
        <f t="shared" si="27"/>
        <v>--</v>
      </c>
      <c r="G315" s="16" t="str">
        <f t="shared" si="28"/>
        <v>--</v>
      </c>
      <c r="H315" s="24" t="str">
        <f>IFERROR(VLOOKUP(B315,#REF!,8,FALSE),"")</f>
        <v/>
      </c>
      <c r="I315" s="17">
        <v>5000</v>
      </c>
      <c r="J315" s="17">
        <v>5000</v>
      </c>
      <c r="K315" s="24" t="str">
        <f>IFERROR(VLOOKUP(B315,#REF!,11,FALSE),"")</f>
        <v/>
      </c>
      <c r="L315" s="17">
        <v>0</v>
      </c>
      <c r="M315" s="6" t="s">
        <v>745</v>
      </c>
      <c r="N315" s="18" t="str">
        <f>IFERROR(VLOOKUP(B315,#REF!,13,FALSE),"")</f>
        <v/>
      </c>
      <c r="O315" s="19" t="str">
        <f>IFERROR(VLOOKUP(B315,#REF!,14,FALSE),"")</f>
        <v/>
      </c>
      <c r="P315" s="19" t="str">
        <f>IFERROR(VLOOKUP(B315,#REF!,15,FALSE),"")</f>
        <v/>
      </c>
      <c r="Q315" s="19"/>
      <c r="R315" s="25" t="str">
        <f>IFERROR(VLOOKUP(B315,#REF!,16,FALSE),"")</f>
        <v/>
      </c>
      <c r="S315" s="17">
        <v>0</v>
      </c>
      <c r="T315" s="17">
        <v>0</v>
      </c>
      <c r="U315" s="17">
        <v>0</v>
      </c>
      <c r="V315" s="17">
        <v>0</v>
      </c>
      <c r="W315" s="20">
        <v>5000</v>
      </c>
      <c r="X315" s="16" t="s">
        <v>40</v>
      </c>
      <c r="Y315" s="21" t="s">
        <v>40</v>
      </c>
      <c r="Z315" s="20">
        <v>0</v>
      </c>
      <c r="AA315" s="17" t="s">
        <v>40</v>
      </c>
      <c r="AB315" s="22" t="s">
        <v>41</v>
      </c>
      <c r="AC315" s="23" t="str">
        <f t="shared" si="29"/>
        <v>E</v>
      </c>
      <c r="AD315" s="17">
        <v>0</v>
      </c>
      <c r="AE315" s="17">
        <v>0</v>
      </c>
      <c r="AF315" s="17">
        <v>0</v>
      </c>
      <c r="AG315" s="17">
        <v>0</v>
      </c>
      <c r="AH315" s="15" t="s">
        <v>42</v>
      </c>
    </row>
    <row r="316" spans="1:34">
      <c r="A316" s="13" t="str">
        <f t="shared" si="24"/>
        <v>ZeroZero</v>
      </c>
      <c r="B316" s="14" t="s">
        <v>134</v>
      </c>
      <c r="C316" s="15" t="s">
        <v>46</v>
      </c>
      <c r="D316" s="19" t="str">
        <f t="shared" si="25"/>
        <v>前八週無拉料</v>
      </c>
      <c r="E316" s="16" t="str">
        <f t="shared" si="26"/>
        <v>--</v>
      </c>
      <c r="F316" s="16" t="str">
        <f t="shared" si="27"/>
        <v>--</v>
      </c>
      <c r="G316" s="16" t="str">
        <f t="shared" si="28"/>
        <v>--</v>
      </c>
      <c r="H316" s="24" t="str">
        <f>IFERROR(VLOOKUP(B316,#REF!,8,FALSE),"")</f>
        <v/>
      </c>
      <c r="I316" s="17">
        <v>5000</v>
      </c>
      <c r="J316" s="17">
        <v>5000</v>
      </c>
      <c r="K316" s="24" t="str">
        <f>IFERROR(VLOOKUP(B316,#REF!,11,FALSE),"")</f>
        <v/>
      </c>
      <c r="L316" s="17">
        <v>0</v>
      </c>
      <c r="M316" s="6" t="s">
        <v>745</v>
      </c>
      <c r="N316" s="18" t="str">
        <f>IFERROR(VLOOKUP(B316,#REF!,13,FALSE),"")</f>
        <v/>
      </c>
      <c r="O316" s="19" t="str">
        <f>IFERROR(VLOOKUP(B316,#REF!,14,FALSE),"")</f>
        <v/>
      </c>
      <c r="P316" s="19" t="str">
        <f>IFERROR(VLOOKUP(B316,#REF!,15,FALSE),"")</f>
        <v/>
      </c>
      <c r="Q316" s="19"/>
      <c r="R316" s="25" t="str">
        <f>IFERROR(VLOOKUP(B316,#REF!,16,FALSE),"")</f>
        <v/>
      </c>
      <c r="S316" s="17">
        <v>0</v>
      </c>
      <c r="T316" s="17">
        <v>0</v>
      </c>
      <c r="U316" s="17">
        <v>0</v>
      </c>
      <c r="V316" s="17">
        <v>0</v>
      </c>
      <c r="W316" s="20">
        <v>5000</v>
      </c>
      <c r="X316" s="16" t="s">
        <v>40</v>
      </c>
      <c r="Y316" s="21" t="s">
        <v>40</v>
      </c>
      <c r="Z316" s="20">
        <v>0</v>
      </c>
      <c r="AA316" s="17" t="s">
        <v>40</v>
      </c>
      <c r="AB316" s="22" t="s">
        <v>41</v>
      </c>
      <c r="AC316" s="23" t="str">
        <f t="shared" si="29"/>
        <v>E</v>
      </c>
      <c r="AD316" s="17">
        <v>0</v>
      </c>
      <c r="AE316" s="17">
        <v>0</v>
      </c>
      <c r="AF316" s="17">
        <v>0</v>
      </c>
      <c r="AG316" s="17">
        <v>0</v>
      </c>
      <c r="AH316" s="15" t="s">
        <v>42</v>
      </c>
    </row>
    <row r="317" spans="1:34">
      <c r="A317" s="13" t="str">
        <f t="shared" si="24"/>
        <v>OverStock</v>
      </c>
      <c r="B317" s="14" t="s">
        <v>139</v>
      </c>
      <c r="C317" s="15" t="s">
        <v>46</v>
      </c>
      <c r="D317" s="19">
        <f t="shared" si="25"/>
        <v>5.8</v>
      </c>
      <c r="E317" s="16">
        <f t="shared" si="26"/>
        <v>5.5</v>
      </c>
      <c r="F317" s="16">
        <f t="shared" si="27"/>
        <v>20</v>
      </c>
      <c r="G317" s="16">
        <f t="shared" si="28"/>
        <v>18.8</v>
      </c>
      <c r="H317" s="24" t="str">
        <f>IFERROR(VLOOKUP(B317,#REF!,8,FALSE),"")</f>
        <v/>
      </c>
      <c r="I317" s="17">
        <v>750000</v>
      </c>
      <c r="J317" s="17">
        <v>150000</v>
      </c>
      <c r="K317" s="24" t="str">
        <f>IFERROR(VLOOKUP(B317,#REF!,11,FALSE),"")</f>
        <v/>
      </c>
      <c r="L317" s="17">
        <v>219250</v>
      </c>
      <c r="M317" s="6" t="s">
        <v>745</v>
      </c>
      <c r="N317" s="18" t="str">
        <f>IFERROR(VLOOKUP(B317,#REF!,13,FALSE),"")</f>
        <v/>
      </c>
      <c r="O317" s="19" t="str">
        <f>IFERROR(VLOOKUP(B317,#REF!,14,FALSE),"")</f>
        <v/>
      </c>
      <c r="P317" s="19" t="str">
        <f>IFERROR(VLOOKUP(B317,#REF!,15,FALSE),"")</f>
        <v/>
      </c>
      <c r="Q317" s="19"/>
      <c r="R317" s="25" t="str">
        <f>IFERROR(VLOOKUP(B317,#REF!,16,FALSE),"")</f>
        <v/>
      </c>
      <c r="S317" s="17">
        <v>0</v>
      </c>
      <c r="T317" s="17">
        <v>219250</v>
      </c>
      <c r="U317" s="17">
        <v>0</v>
      </c>
      <c r="V317" s="17">
        <v>0</v>
      </c>
      <c r="W317" s="20">
        <v>969250</v>
      </c>
      <c r="X317" s="16">
        <v>25.8</v>
      </c>
      <c r="Y317" s="21">
        <v>24.2</v>
      </c>
      <c r="Z317" s="20">
        <v>37500</v>
      </c>
      <c r="AA317" s="17">
        <v>40000</v>
      </c>
      <c r="AB317" s="22">
        <v>1.1000000000000001</v>
      </c>
      <c r="AC317" s="23">
        <f t="shared" si="29"/>
        <v>100</v>
      </c>
      <c r="AD317" s="17">
        <v>0</v>
      </c>
      <c r="AE317" s="17">
        <v>153000</v>
      </c>
      <c r="AF317" s="17">
        <v>225000</v>
      </c>
      <c r="AG317" s="17">
        <v>309000</v>
      </c>
      <c r="AH317" s="15" t="s">
        <v>42</v>
      </c>
    </row>
    <row r="318" spans="1:34">
      <c r="A318" s="13" t="str">
        <f t="shared" si="24"/>
        <v>OverStock</v>
      </c>
      <c r="B318" s="14" t="s">
        <v>140</v>
      </c>
      <c r="C318" s="15" t="s">
        <v>46</v>
      </c>
      <c r="D318" s="19">
        <f t="shared" si="25"/>
        <v>7.7</v>
      </c>
      <c r="E318" s="16">
        <f t="shared" si="26"/>
        <v>5.2</v>
      </c>
      <c r="F318" s="16">
        <f t="shared" si="27"/>
        <v>17.399999999999999</v>
      </c>
      <c r="G318" s="16">
        <f t="shared" si="28"/>
        <v>11.7</v>
      </c>
      <c r="H318" s="24" t="str">
        <f>IFERROR(VLOOKUP(B318,#REF!,8,FALSE),"")</f>
        <v/>
      </c>
      <c r="I318" s="17">
        <v>1881000</v>
      </c>
      <c r="J318" s="17">
        <v>1281000</v>
      </c>
      <c r="K318" s="24" t="str">
        <f>IFERROR(VLOOKUP(B318,#REF!,11,FALSE),"")</f>
        <v/>
      </c>
      <c r="L318" s="17">
        <v>832600</v>
      </c>
      <c r="M318" s="6" t="s">
        <v>745</v>
      </c>
      <c r="N318" s="18" t="str">
        <f>IFERROR(VLOOKUP(B318,#REF!,13,FALSE),"")</f>
        <v/>
      </c>
      <c r="O318" s="19" t="str">
        <f>IFERROR(VLOOKUP(B318,#REF!,14,FALSE),"")</f>
        <v/>
      </c>
      <c r="P318" s="19" t="str">
        <f>IFERROR(VLOOKUP(B318,#REF!,15,FALSE),"")</f>
        <v/>
      </c>
      <c r="Q318" s="19"/>
      <c r="R318" s="25" t="str">
        <f>IFERROR(VLOOKUP(B318,#REF!,16,FALSE),"")</f>
        <v/>
      </c>
      <c r="S318" s="17">
        <v>0</v>
      </c>
      <c r="T318" s="17">
        <v>832600</v>
      </c>
      <c r="U318" s="17">
        <v>0</v>
      </c>
      <c r="V318" s="17">
        <v>0</v>
      </c>
      <c r="W318" s="20">
        <v>2713600</v>
      </c>
      <c r="X318" s="16">
        <v>25</v>
      </c>
      <c r="Y318" s="21">
        <v>16.899999999999999</v>
      </c>
      <c r="Z318" s="20">
        <v>108375</v>
      </c>
      <c r="AA318" s="17">
        <v>161000</v>
      </c>
      <c r="AB318" s="22">
        <v>1.5</v>
      </c>
      <c r="AC318" s="23">
        <f t="shared" si="29"/>
        <v>100</v>
      </c>
      <c r="AD318" s="17">
        <v>60000</v>
      </c>
      <c r="AE318" s="17">
        <v>807000</v>
      </c>
      <c r="AF318" s="17">
        <v>756000</v>
      </c>
      <c r="AG318" s="17">
        <v>453000</v>
      </c>
      <c r="AH318" s="15" t="s">
        <v>42</v>
      </c>
    </row>
    <row r="319" spans="1:34">
      <c r="A319" s="13" t="str">
        <f t="shared" si="24"/>
        <v>OverStock</v>
      </c>
      <c r="B319" s="14" t="s">
        <v>141</v>
      </c>
      <c r="C319" s="15" t="s">
        <v>46</v>
      </c>
      <c r="D319" s="19">
        <f t="shared" si="25"/>
        <v>7.5</v>
      </c>
      <c r="E319" s="16">
        <f t="shared" si="26"/>
        <v>3.5</v>
      </c>
      <c r="F319" s="16">
        <f t="shared" si="27"/>
        <v>230.6</v>
      </c>
      <c r="G319" s="16">
        <f t="shared" si="28"/>
        <v>107.6</v>
      </c>
      <c r="H319" s="24" t="str">
        <f>IFERROR(VLOOKUP(B319,#REF!,8,FALSE),"")</f>
        <v/>
      </c>
      <c r="I319" s="17">
        <v>1470000</v>
      </c>
      <c r="J319" s="17">
        <v>150000</v>
      </c>
      <c r="K319" s="24" t="str">
        <f>IFERROR(VLOOKUP(B319,#REF!,11,FALSE),"")</f>
        <v/>
      </c>
      <c r="L319" s="17">
        <v>48000</v>
      </c>
      <c r="M319" s="6" t="s">
        <v>745</v>
      </c>
      <c r="N319" s="18" t="str">
        <f>IFERROR(VLOOKUP(B319,#REF!,13,FALSE),"")</f>
        <v/>
      </c>
      <c r="O319" s="19" t="str">
        <f>IFERROR(VLOOKUP(B319,#REF!,14,FALSE),"")</f>
        <v/>
      </c>
      <c r="P319" s="19" t="str">
        <f>IFERROR(VLOOKUP(B319,#REF!,15,FALSE),"")</f>
        <v/>
      </c>
      <c r="Q319" s="19"/>
      <c r="R319" s="25" t="str">
        <f>IFERROR(VLOOKUP(B319,#REF!,16,FALSE),"")</f>
        <v/>
      </c>
      <c r="S319" s="17">
        <v>0</v>
      </c>
      <c r="T319" s="17">
        <v>48000</v>
      </c>
      <c r="U319" s="17">
        <v>0</v>
      </c>
      <c r="V319" s="17">
        <v>0</v>
      </c>
      <c r="W319" s="20">
        <v>1518000</v>
      </c>
      <c r="X319" s="16">
        <v>238.1</v>
      </c>
      <c r="Y319" s="21">
        <v>111.1</v>
      </c>
      <c r="Z319" s="20">
        <v>6375</v>
      </c>
      <c r="AA319" s="17">
        <v>13667</v>
      </c>
      <c r="AB319" s="22">
        <v>2.1</v>
      </c>
      <c r="AC319" s="23">
        <f t="shared" si="29"/>
        <v>150</v>
      </c>
      <c r="AD319" s="17">
        <v>0</v>
      </c>
      <c r="AE319" s="17">
        <v>63000</v>
      </c>
      <c r="AF319" s="17">
        <v>69000</v>
      </c>
      <c r="AG319" s="17">
        <v>21000</v>
      </c>
      <c r="AH319" s="15" t="s">
        <v>42</v>
      </c>
    </row>
    <row r="320" spans="1:34">
      <c r="A320" s="13" t="str">
        <f t="shared" si="24"/>
        <v>OverStock</v>
      </c>
      <c r="B320" s="14" t="s">
        <v>142</v>
      </c>
      <c r="C320" s="15" t="s">
        <v>46</v>
      </c>
      <c r="D320" s="19">
        <f t="shared" si="25"/>
        <v>15.9</v>
      </c>
      <c r="E320" s="16">
        <f t="shared" si="26"/>
        <v>9.1</v>
      </c>
      <c r="F320" s="16">
        <f t="shared" si="27"/>
        <v>11.6</v>
      </c>
      <c r="G320" s="16">
        <f t="shared" si="28"/>
        <v>6.6</v>
      </c>
      <c r="H320" s="24" t="str">
        <f>IFERROR(VLOOKUP(B320,#REF!,8,FALSE),"")</f>
        <v/>
      </c>
      <c r="I320" s="17">
        <v>735000</v>
      </c>
      <c r="J320" s="17">
        <v>255000</v>
      </c>
      <c r="K320" s="24" t="str">
        <f>IFERROR(VLOOKUP(B320,#REF!,11,FALSE),"")</f>
        <v/>
      </c>
      <c r="L320" s="17">
        <v>1010600</v>
      </c>
      <c r="M320" s="6" t="s">
        <v>745</v>
      </c>
      <c r="N320" s="18" t="str">
        <f>IFERROR(VLOOKUP(B320,#REF!,13,FALSE),"")</f>
        <v/>
      </c>
      <c r="O320" s="19" t="str">
        <f>IFERROR(VLOOKUP(B320,#REF!,14,FALSE),"")</f>
        <v/>
      </c>
      <c r="P320" s="19" t="str">
        <f>IFERROR(VLOOKUP(B320,#REF!,15,FALSE),"")</f>
        <v/>
      </c>
      <c r="Q320" s="19"/>
      <c r="R320" s="25" t="str">
        <f>IFERROR(VLOOKUP(B320,#REF!,16,FALSE),"")</f>
        <v/>
      </c>
      <c r="S320" s="17">
        <v>0</v>
      </c>
      <c r="T320" s="17">
        <v>1010600</v>
      </c>
      <c r="U320" s="17">
        <v>0</v>
      </c>
      <c r="V320" s="17">
        <v>0</v>
      </c>
      <c r="W320" s="20">
        <v>1745600</v>
      </c>
      <c r="X320" s="16">
        <v>27.5</v>
      </c>
      <c r="Y320" s="21">
        <v>15.6</v>
      </c>
      <c r="Z320" s="20">
        <v>63425</v>
      </c>
      <c r="AA320" s="17">
        <v>111666</v>
      </c>
      <c r="AB320" s="22">
        <v>1.8</v>
      </c>
      <c r="AC320" s="23">
        <f t="shared" si="29"/>
        <v>100</v>
      </c>
      <c r="AD320" s="17">
        <v>66000</v>
      </c>
      <c r="AE320" s="17">
        <v>498000</v>
      </c>
      <c r="AF320" s="17">
        <v>537000</v>
      </c>
      <c r="AG320" s="17">
        <v>213000</v>
      </c>
      <c r="AH320" s="15" t="s">
        <v>42</v>
      </c>
    </row>
    <row r="321" spans="1:34">
      <c r="A321" s="13" t="str">
        <f t="shared" si="24"/>
        <v>Normal</v>
      </c>
      <c r="B321" s="14" t="s">
        <v>144</v>
      </c>
      <c r="C321" s="15" t="s">
        <v>46</v>
      </c>
      <c r="D321" s="19">
        <f t="shared" si="25"/>
        <v>2.7</v>
      </c>
      <c r="E321" s="16" t="str">
        <f t="shared" si="26"/>
        <v>--</v>
      </c>
      <c r="F321" s="16">
        <f t="shared" si="27"/>
        <v>0</v>
      </c>
      <c r="G321" s="16" t="str">
        <f t="shared" si="28"/>
        <v>--</v>
      </c>
      <c r="H321" s="24" t="str">
        <f>IFERROR(VLOOKUP(B321,#REF!,8,FALSE),"")</f>
        <v/>
      </c>
      <c r="I321" s="17">
        <v>0</v>
      </c>
      <c r="J321" s="17">
        <v>0</v>
      </c>
      <c r="K321" s="24" t="str">
        <f>IFERROR(VLOOKUP(B321,#REF!,11,FALSE),"")</f>
        <v/>
      </c>
      <c r="L321" s="17">
        <v>5000</v>
      </c>
      <c r="M321" s="6" t="s">
        <v>745</v>
      </c>
      <c r="N321" s="18" t="str">
        <f>IFERROR(VLOOKUP(B321,#REF!,13,FALSE),"")</f>
        <v/>
      </c>
      <c r="O321" s="19" t="str">
        <f>IFERROR(VLOOKUP(B321,#REF!,14,FALSE),"")</f>
        <v/>
      </c>
      <c r="P321" s="19" t="str">
        <f>IFERROR(VLOOKUP(B321,#REF!,15,FALSE),"")</f>
        <v/>
      </c>
      <c r="Q321" s="19"/>
      <c r="R321" s="25" t="str">
        <f>IFERROR(VLOOKUP(B321,#REF!,16,FALSE),"")</f>
        <v/>
      </c>
      <c r="S321" s="17">
        <v>0</v>
      </c>
      <c r="T321" s="17">
        <v>5000</v>
      </c>
      <c r="U321" s="17">
        <v>0</v>
      </c>
      <c r="V321" s="17">
        <v>0</v>
      </c>
      <c r="W321" s="20">
        <v>5000</v>
      </c>
      <c r="X321" s="16">
        <v>2.7</v>
      </c>
      <c r="Y321" s="21" t="s">
        <v>40</v>
      </c>
      <c r="Z321" s="20">
        <v>1875</v>
      </c>
      <c r="AA321" s="17">
        <v>0</v>
      </c>
      <c r="AB321" s="22" t="s">
        <v>41</v>
      </c>
      <c r="AC321" s="23" t="str">
        <f t="shared" si="29"/>
        <v>E</v>
      </c>
      <c r="AD321" s="17">
        <v>0</v>
      </c>
      <c r="AE321" s="17">
        <v>0</v>
      </c>
      <c r="AF321" s="17">
        <v>0</v>
      </c>
      <c r="AG321" s="17">
        <v>5000</v>
      </c>
      <c r="AH321" s="15" t="s">
        <v>42</v>
      </c>
    </row>
    <row r="322" spans="1:34">
      <c r="A322" s="13" t="str">
        <f t="shared" si="24"/>
        <v>OverStock</v>
      </c>
      <c r="B322" s="14" t="s">
        <v>145</v>
      </c>
      <c r="C322" s="15" t="s">
        <v>46</v>
      </c>
      <c r="D322" s="19">
        <f t="shared" si="25"/>
        <v>19.7</v>
      </c>
      <c r="E322" s="16">
        <f t="shared" si="26"/>
        <v>24</v>
      </c>
      <c r="F322" s="16">
        <f t="shared" si="27"/>
        <v>0</v>
      </c>
      <c r="G322" s="16">
        <f t="shared" si="28"/>
        <v>0</v>
      </c>
      <c r="H322" s="24" t="str">
        <f>IFERROR(VLOOKUP(B322,#REF!,8,FALSE),"")</f>
        <v/>
      </c>
      <c r="I322" s="17">
        <v>0</v>
      </c>
      <c r="J322" s="17">
        <v>0</v>
      </c>
      <c r="K322" s="24" t="str">
        <f>IFERROR(VLOOKUP(B322,#REF!,11,FALSE),"")</f>
        <v/>
      </c>
      <c r="L322" s="17">
        <v>96000</v>
      </c>
      <c r="M322" s="6" t="s">
        <v>745</v>
      </c>
      <c r="N322" s="18" t="str">
        <f>IFERROR(VLOOKUP(B322,#REF!,13,FALSE),"")</f>
        <v/>
      </c>
      <c r="O322" s="19" t="str">
        <f>IFERROR(VLOOKUP(B322,#REF!,14,FALSE),"")</f>
        <v/>
      </c>
      <c r="P322" s="19" t="str">
        <f>IFERROR(VLOOKUP(B322,#REF!,15,FALSE),"")</f>
        <v/>
      </c>
      <c r="Q322" s="19"/>
      <c r="R322" s="25" t="str">
        <f>IFERROR(VLOOKUP(B322,#REF!,16,FALSE),"")</f>
        <v/>
      </c>
      <c r="S322" s="17">
        <v>0</v>
      </c>
      <c r="T322" s="17">
        <v>96000</v>
      </c>
      <c r="U322" s="17">
        <v>0</v>
      </c>
      <c r="V322" s="17">
        <v>0</v>
      </c>
      <c r="W322" s="20">
        <v>96000</v>
      </c>
      <c r="X322" s="16">
        <v>19.7</v>
      </c>
      <c r="Y322" s="21">
        <v>24</v>
      </c>
      <c r="Z322" s="20">
        <v>4875</v>
      </c>
      <c r="AA322" s="17">
        <v>4000</v>
      </c>
      <c r="AB322" s="22">
        <v>0.8</v>
      </c>
      <c r="AC322" s="23">
        <f t="shared" si="29"/>
        <v>100</v>
      </c>
      <c r="AD322" s="17">
        <v>0</v>
      </c>
      <c r="AE322" s="17">
        <v>27000</v>
      </c>
      <c r="AF322" s="17">
        <v>15000</v>
      </c>
      <c r="AG322" s="17">
        <v>0</v>
      </c>
      <c r="AH322" s="15" t="s">
        <v>42</v>
      </c>
    </row>
    <row r="323" spans="1:34">
      <c r="A323" s="13" t="str">
        <f t="shared" si="24"/>
        <v>FCST</v>
      </c>
      <c r="B323" s="14" t="s">
        <v>146</v>
      </c>
      <c r="C323" s="15" t="s">
        <v>46</v>
      </c>
      <c r="D323" s="19" t="str">
        <f t="shared" si="25"/>
        <v>前八週無拉料</v>
      </c>
      <c r="E323" s="16">
        <f t="shared" si="26"/>
        <v>0</v>
      </c>
      <c r="F323" s="16" t="str">
        <f t="shared" si="27"/>
        <v>--</v>
      </c>
      <c r="G323" s="16">
        <f t="shared" si="28"/>
        <v>4.5</v>
      </c>
      <c r="H323" s="24" t="str">
        <f>IFERROR(VLOOKUP(B323,#REF!,8,FALSE),"")</f>
        <v/>
      </c>
      <c r="I323" s="17">
        <v>2500</v>
      </c>
      <c r="J323" s="17">
        <v>2500</v>
      </c>
      <c r="K323" s="24" t="str">
        <f>IFERROR(VLOOKUP(B323,#REF!,11,FALSE),"")</f>
        <v/>
      </c>
      <c r="L323" s="17">
        <v>0</v>
      </c>
      <c r="M323" s="6" t="s">
        <v>744</v>
      </c>
      <c r="N323" s="18" t="str">
        <f>IFERROR(VLOOKUP(B323,#REF!,13,FALSE),"")</f>
        <v/>
      </c>
      <c r="O323" s="19" t="str">
        <f>IFERROR(VLOOKUP(B323,#REF!,14,FALSE),"")</f>
        <v/>
      </c>
      <c r="P323" s="19" t="str">
        <f>IFERROR(VLOOKUP(B323,#REF!,15,FALSE),"")</f>
        <v/>
      </c>
      <c r="Q323" s="19"/>
      <c r="R323" s="25" t="str">
        <f>IFERROR(VLOOKUP(B323,#REF!,16,FALSE),"")</f>
        <v/>
      </c>
      <c r="S323" s="17">
        <v>0</v>
      </c>
      <c r="T323" s="17">
        <v>0</v>
      </c>
      <c r="U323" s="17">
        <v>0</v>
      </c>
      <c r="V323" s="17">
        <v>0</v>
      </c>
      <c r="W323" s="20">
        <v>2500</v>
      </c>
      <c r="X323" s="16" t="s">
        <v>40</v>
      </c>
      <c r="Y323" s="21">
        <v>4.5</v>
      </c>
      <c r="Z323" s="20">
        <v>0</v>
      </c>
      <c r="AA323" s="17">
        <v>556</v>
      </c>
      <c r="AB323" s="22" t="s">
        <v>51</v>
      </c>
      <c r="AC323" s="23" t="str">
        <f t="shared" si="29"/>
        <v>F</v>
      </c>
      <c r="AD323" s="17">
        <v>2500</v>
      </c>
      <c r="AE323" s="17">
        <v>2500</v>
      </c>
      <c r="AF323" s="17">
        <v>0</v>
      </c>
      <c r="AG323" s="17">
        <v>0</v>
      </c>
      <c r="AH323" s="15" t="s">
        <v>42</v>
      </c>
    </row>
    <row r="324" spans="1:34">
      <c r="A324" s="13" t="str">
        <f t="shared" ref="A324:A387" si="30">IF(OR(Z324=0,LEN(Z324)=0)*OR(AA324=0,LEN(AA324)=0),IF(W324&gt;0,"ZeroZero","None"),IF(IF(LEN(X324)=0,0,X324)&gt;16,"OverStock",IF(Z324=0,"FCST","Normal")))</f>
        <v>Normal</v>
      </c>
      <c r="B324" s="14" t="s">
        <v>148</v>
      </c>
      <c r="C324" s="15" t="s">
        <v>46</v>
      </c>
      <c r="D324" s="19">
        <f t="shared" ref="D324:D387" si="31">IF(Z324=0,"前八週無拉料",ROUND(L324/Z324,1))</f>
        <v>2.7</v>
      </c>
      <c r="E324" s="16" t="str">
        <f t="shared" ref="E324:E387" si="32">IF(OR(AA324=0,LEN(AA324)=0),"--",ROUND(L324/AA324,1))</f>
        <v>--</v>
      </c>
      <c r="F324" s="16">
        <f t="shared" ref="F324:F387" si="33">IF(Z324=0,"--",ROUND(I324/Z324,1))</f>
        <v>13.3</v>
      </c>
      <c r="G324" s="16" t="str">
        <f t="shared" ref="G324:G387" si="34">IF(OR(AA324=0,LEN(AA324)=0),"--",ROUND(I324/AA324,1))</f>
        <v>--</v>
      </c>
      <c r="H324" s="24" t="str">
        <f>IFERROR(VLOOKUP(B324,#REF!,8,FALSE),"")</f>
        <v/>
      </c>
      <c r="I324" s="17">
        <v>15000</v>
      </c>
      <c r="J324" s="17">
        <v>15000</v>
      </c>
      <c r="K324" s="24" t="str">
        <f>IFERROR(VLOOKUP(B324,#REF!,11,FALSE),"")</f>
        <v/>
      </c>
      <c r="L324" s="17">
        <v>3000</v>
      </c>
      <c r="M324" s="6" t="s">
        <v>745</v>
      </c>
      <c r="N324" s="18" t="str">
        <f>IFERROR(VLOOKUP(B324,#REF!,13,FALSE),"")</f>
        <v/>
      </c>
      <c r="O324" s="19" t="str">
        <f>IFERROR(VLOOKUP(B324,#REF!,14,FALSE),"")</f>
        <v/>
      </c>
      <c r="P324" s="19" t="str">
        <f>IFERROR(VLOOKUP(B324,#REF!,15,FALSE),"")</f>
        <v/>
      </c>
      <c r="Q324" s="19"/>
      <c r="R324" s="25" t="str">
        <f>IFERROR(VLOOKUP(B324,#REF!,16,FALSE),"")</f>
        <v/>
      </c>
      <c r="S324" s="17">
        <v>0</v>
      </c>
      <c r="T324" s="17">
        <v>3000</v>
      </c>
      <c r="U324" s="17">
        <v>0</v>
      </c>
      <c r="V324" s="17">
        <v>0</v>
      </c>
      <c r="W324" s="20">
        <v>18000</v>
      </c>
      <c r="X324" s="16">
        <v>16</v>
      </c>
      <c r="Y324" s="21" t="s">
        <v>40</v>
      </c>
      <c r="Z324" s="20">
        <v>1125</v>
      </c>
      <c r="AA324" s="17" t="s">
        <v>40</v>
      </c>
      <c r="AB324" s="22" t="s">
        <v>41</v>
      </c>
      <c r="AC324" s="23" t="str">
        <f t="shared" ref="AC324:AC387" si="35">IF($AB324="E","E",IF($AB324="F","F",IF($AB324&lt;0.5,50,IF($AB324&lt;2,100,150))))</f>
        <v>E</v>
      </c>
      <c r="AD324" s="17">
        <v>0</v>
      </c>
      <c r="AE324" s="17">
        <v>0</v>
      </c>
      <c r="AF324" s="17">
        <v>0</v>
      </c>
      <c r="AG324" s="17">
        <v>0</v>
      </c>
      <c r="AH324" s="15" t="s">
        <v>42</v>
      </c>
    </row>
    <row r="325" spans="1:34">
      <c r="A325" s="13" t="str">
        <f t="shared" si="30"/>
        <v>Normal</v>
      </c>
      <c r="B325" s="14" t="s">
        <v>149</v>
      </c>
      <c r="C325" s="15" t="s">
        <v>46</v>
      </c>
      <c r="D325" s="19">
        <f t="shared" si="31"/>
        <v>2.7</v>
      </c>
      <c r="E325" s="16" t="str">
        <f t="shared" si="32"/>
        <v>--</v>
      </c>
      <c r="F325" s="16">
        <f t="shared" si="33"/>
        <v>0</v>
      </c>
      <c r="G325" s="16" t="str">
        <f t="shared" si="34"/>
        <v>--</v>
      </c>
      <c r="H325" s="24" t="str">
        <f>IFERROR(VLOOKUP(B325,#REF!,8,FALSE),"")</f>
        <v/>
      </c>
      <c r="I325" s="17">
        <v>0</v>
      </c>
      <c r="J325" s="17">
        <v>0</v>
      </c>
      <c r="K325" s="24" t="str">
        <f>IFERROR(VLOOKUP(B325,#REF!,11,FALSE),"")</f>
        <v/>
      </c>
      <c r="L325" s="17">
        <v>3000</v>
      </c>
      <c r="M325" s="6" t="s">
        <v>745</v>
      </c>
      <c r="N325" s="18" t="str">
        <f>IFERROR(VLOOKUP(B325,#REF!,13,FALSE),"")</f>
        <v/>
      </c>
      <c r="O325" s="19" t="str">
        <f>IFERROR(VLOOKUP(B325,#REF!,14,FALSE),"")</f>
        <v/>
      </c>
      <c r="P325" s="19" t="str">
        <f>IFERROR(VLOOKUP(B325,#REF!,15,FALSE),"")</f>
        <v/>
      </c>
      <c r="Q325" s="19"/>
      <c r="R325" s="25" t="str">
        <f>IFERROR(VLOOKUP(B325,#REF!,16,FALSE),"")</f>
        <v/>
      </c>
      <c r="S325" s="17">
        <v>0</v>
      </c>
      <c r="T325" s="17">
        <v>3000</v>
      </c>
      <c r="U325" s="17">
        <v>0</v>
      </c>
      <c r="V325" s="17">
        <v>0</v>
      </c>
      <c r="W325" s="20">
        <v>3000</v>
      </c>
      <c r="X325" s="16">
        <v>2.7</v>
      </c>
      <c r="Y325" s="21" t="s">
        <v>40</v>
      </c>
      <c r="Z325" s="20">
        <v>1125</v>
      </c>
      <c r="AA325" s="17" t="s">
        <v>40</v>
      </c>
      <c r="AB325" s="22" t="s">
        <v>41</v>
      </c>
      <c r="AC325" s="23" t="str">
        <f t="shared" si="35"/>
        <v>E</v>
      </c>
      <c r="AD325" s="17">
        <v>0</v>
      </c>
      <c r="AE325" s="17">
        <v>0</v>
      </c>
      <c r="AF325" s="17">
        <v>0</v>
      </c>
      <c r="AG325" s="17">
        <v>0</v>
      </c>
      <c r="AH325" s="15" t="s">
        <v>42</v>
      </c>
    </row>
    <row r="326" spans="1:34">
      <c r="A326" s="13" t="str">
        <f t="shared" si="30"/>
        <v>None</v>
      </c>
      <c r="B326" s="14" t="s">
        <v>150</v>
      </c>
      <c r="C326" s="15" t="s">
        <v>46</v>
      </c>
      <c r="D326" s="19" t="str">
        <f t="shared" si="31"/>
        <v>前八週無拉料</v>
      </c>
      <c r="E326" s="16" t="str">
        <f t="shared" si="32"/>
        <v>--</v>
      </c>
      <c r="F326" s="16" t="str">
        <f t="shared" si="33"/>
        <v>--</v>
      </c>
      <c r="G326" s="16" t="str">
        <f t="shared" si="34"/>
        <v>--</v>
      </c>
      <c r="H326" s="24" t="str">
        <f>IFERROR(VLOOKUP(B326,#REF!,8,FALSE),"")</f>
        <v/>
      </c>
      <c r="I326" s="17">
        <v>0</v>
      </c>
      <c r="J326" s="17">
        <v>0</v>
      </c>
      <c r="K326" s="24" t="str">
        <f>IFERROR(VLOOKUP(B326,#REF!,11,FALSE),"")</f>
        <v/>
      </c>
      <c r="L326" s="17">
        <v>0</v>
      </c>
      <c r="M326" s="6" t="s">
        <v>745</v>
      </c>
      <c r="N326" s="18" t="str">
        <f>IFERROR(VLOOKUP(B326,#REF!,13,FALSE),"")</f>
        <v/>
      </c>
      <c r="O326" s="19" t="str">
        <f>IFERROR(VLOOKUP(B326,#REF!,14,FALSE),"")</f>
        <v/>
      </c>
      <c r="P326" s="19" t="str">
        <f>IFERROR(VLOOKUP(B326,#REF!,15,FALSE),"")</f>
        <v/>
      </c>
      <c r="Q326" s="19"/>
      <c r="R326" s="25" t="str">
        <f>IFERROR(VLOOKUP(B326,#REF!,16,FALSE),"")</f>
        <v/>
      </c>
      <c r="S326" s="17">
        <v>0</v>
      </c>
      <c r="T326" s="17">
        <v>0</v>
      </c>
      <c r="U326" s="17">
        <v>0</v>
      </c>
      <c r="V326" s="17">
        <v>0</v>
      </c>
      <c r="W326" s="20">
        <v>0</v>
      </c>
      <c r="X326" s="16" t="s">
        <v>40</v>
      </c>
      <c r="Y326" s="21" t="s">
        <v>40</v>
      </c>
      <c r="Z326" s="20">
        <v>0</v>
      </c>
      <c r="AA326" s="17">
        <v>0</v>
      </c>
      <c r="AB326" s="22" t="s">
        <v>41</v>
      </c>
      <c r="AC326" s="23" t="str">
        <f t="shared" si="35"/>
        <v>E</v>
      </c>
      <c r="AD326" s="17">
        <v>0</v>
      </c>
      <c r="AE326" s="17">
        <v>0</v>
      </c>
      <c r="AF326" s="17">
        <v>0</v>
      </c>
      <c r="AG326" s="17">
        <v>0</v>
      </c>
      <c r="AH326" s="15" t="s">
        <v>42</v>
      </c>
    </row>
    <row r="327" spans="1:34">
      <c r="A327" s="13" t="str">
        <f t="shared" si="30"/>
        <v>OverStock</v>
      </c>
      <c r="B327" s="14" t="s">
        <v>151</v>
      </c>
      <c r="C327" s="15" t="s">
        <v>46</v>
      </c>
      <c r="D327" s="19">
        <f t="shared" si="31"/>
        <v>5.3</v>
      </c>
      <c r="E327" s="16" t="str">
        <f t="shared" si="32"/>
        <v>--</v>
      </c>
      <c r="F327" s="16">
        <f t="shared" si="33"/>
        <v>13.3</v>
      </c>
      <c r="G327" s="16" t="str">
        <f t="shared" si="34"/>
        <v>--</v>
      </c>
      <c r="H327" s="24" t="str">
        <f>IFERROR(VLOOKUP(B327,#REF!,8,FALSE),"")</f>
        <v/>
      </c>
      <c r="I327" s="17">
        <v>15000</v>
      </c>
      <c r="J327" s="17">
        <v>0</v>
      </c>
      <c r="K327" s="24" t="str">
        <f>IFERROR(VLOOKUP(B327,#REF!,11,FALSE),"")</f>
        <v/>
      </c>
      <c r="L327" s="17">
        <v>6000</v>
      </c>
      <c r="M327" s="6" t="s">
        <v>745</v>
      </c>
      <c r="N327" s="18" t="str">
        <f>IFERROR(VLOOKUP(B327,#REF!,13,FALSE),"")</f>
        <v/>
      </c>
      <c r="O327" s="19" t="str">
        <f>IFERROR(VLOOKUP(B327,#REF!,14,FALSE),"")</f>
        <v/>
      </c>
      <c r="P327" s="19" t="str">
        <f>IFERROR(VLOOKUP(B327,#REF!,15,FALSE),"")</f>
        <v/>
      </c>
      <c r="Q327" s="19"/>
      <c r="R327" s="25" t="str">
        <f>IFERROR(VLOOKUP(B327,#REF!,16,FALSE),"")</f>
        <v/>
      </c>
      <c r="S327" s="17">
        <v>0</v>
      </c>
      <c r="T327" s="17">
        <v>6000</v>
      </c>
      <c r="U327" s="17">
        <v>0</v>
      </c>
      <c r="V327" s="17">
        <v>0</v>
      </c>
      <c r="W327" s="20">
        <v>21000</v>
      </c>
      <c r="X327" s="16">
        <v>18.7</v>
      </c>
      <c r="Y327" s="21" t="s">
        <v>40</v>
      </c>
      <c r="Z327" s="20">
        <v>1125</v>
      </c>
      <c r="AA327" s="17" t="s">
        <v>40</v>
      </c>
      <c r="AB327" s="22" t="s">
        <v>41</v>
      </c>
      <c r="AC327" s="23" t="str">
        <f t="shared" si="35"/>
        <v>E</v>
      </c>
      <c r="AD327" s="17">
        <v>0</v>
      </c>
      <c r="AE327" s="17">
        <v>0</v>
      </c>
      <c r="AF327" s="17">
        <v>0</v>
      </c>
      <c r="AG327" s="17">
        <v>0</v>
      </c>
      <c r="AH327" s="15" t="s">
        <v>42</v>
      </c>
    </row>
    <row r="328" spans="1:34">
      <c r="A328" s="13" t="str">
        <f t="shared" si="30"/>
        <v>OverStock</v>
      </c>
      <c r="B328" s="14" t="s">
        <v>155</v>
      </c>
      <c r="C328" s="15" t="s">
        <v>46</v>
      </c>
      <c r="D328" s="19">
        <f t="shared" si="31"/>
        <v>54</v>
      </c>
      <c r="E328" s="16">
        <f t="shared" si="32"/>
        <v>40.5</v>
      </c>
      <c r="F328" s="16">
        <f t="shared" si="33"/>
        <v>0</v>
      </c>
      <c r="G328" s="16">
        <f t="shared" si="34"/>
        <v>0</v>
      </c>
      <c r="H328" s="24" t="str">
        <f>IFERROR(VLOOKUP(B328,#REF!,8,FALSE),"")</f>
        <v/>
      </c>
      <c r="I328" s="17">
        <v>0</v>
      </c>
      <c r="J328" s="17">
        <v>0</v>
      </c>
      <c r="K328" s="24" t="str">
        <f>IFERROR(VLOOKUP(B328,#REF!,11,FALSE),"")</f>
        <v/>
      </c>
      <c r="L328" s="17">
        <v>135000</v>
      </c>
      <c r="M328" s="6" t="s">
        <v>745</v>
      </c>
      <c r="N328" s="18" t="str">
        <f>IFERROR(VLOOKUP(B328,#REF!,13,FALSE),"")</f>
        <v/>
      </c>
      <c r="O328" s="19" t="str">
        <f>IFERROR(VLOOKUP(B328,#REF!,14,FALSE),"")</f>
        <v/>
      </c>
      <c r="P328" s="19" t="str">
        <f>IFERROR(VLOOKUP(B328,#REF!,15,FALSE),"")</f>
        <v/>
      </c>
      <c r="Q328" s="19"/>
      <c r="R328" s="25" t="str">
        <f>IFERROR(VLOOKUP(B328,#REF!,16,FALSE),"")</f>
        <v/>
      </c>
      <c r="S328" s="17">
        <v>0</v>
      </c>
      <c r="T328" s="17">
        <v>135000</v>
      </c>
      <c r="U328" s="17">
        <v>0</v>
      </c>
      <c r="V328" s="17">
        <v>0</v>
      </c>
      <c r="W328" s="20">
        <v>135000</v>
      </c>
      <c r="X328" s="16">
        <v>54</v>
      </c>
      <c r="Y328" s="21">
        <v>40.5</v>
      </c>
      <c r="Z328" s="20">
        <v>2500</v>
      </c>
      <c r="AA328" s="17">
        <v>3334</v>
      </c>
      <c r="AB328" s="22">
        <v>1.3</v>
      </c>
      <c r="AC328" s="23">
        <f t="shared" si="35"/>
        <v>100</v>
      </c>
      <c r="AD328" s="17">
        <v>0</v>
      </c>
      <c r="AE328" s="17">
        <v>25000</v>
      </c>
      <c r="AF328" s="17">
        <v>5000</v>
      </c>
      <c r="AG328" s="17">
        <v>5000</v>
      </c>
      <c r="AH328" s="15" t="s">
        <v>42</v>
      </c>
    </row>
    <row r="329" spans="1:34">
      <c r="A329" s="13" t="str">
        <f t="shared" si="30"/>
        <v>Normal</v>
      </c>
      <c r="B329" s="14" t="s">
        <v>156</v>
      </c>
      <c r="C329" s="15" t="s">
        <v>46</v>
      </c>
      <c r="D329" s="19">
        <f t="shared" si="31"/>
        <v>6</v>
      </c>
      <c r="E329" s="16">
        <f t="shared" si="32"/>
        <v>8.8000000000000007</v>
      </c>
      <c r="F329" s="16">
        <f t="shared" si="33"/>
        <v>6.1</v>
      </c>
      <c r="G329" s="16">
        <f t="shared" si="34"/>
        <v>8.9</v>
      </c>
      <c r="H329" s="24" t="str">
        <f>IFERROR(VLOOKUP(B329,#REF!,8,FALSE),"")</f>
        <v/>
      </c>
      <c r="I329" s="17">
        <v>500000</v>
      </c>
      <c r="J329" s="17">
        <v>250000</v>
      </c>
      <c r="K329" s="24" t="str">
        <f>IFERROR(VLOOKUP(B329,#REF!,11,FALSE),"")</f>
        <v/>
      </c>
      <c r="L329" s="17">
        <v>495000</v>
      </c>
      <c r="M329" s="6" t="s">
        <v>745</v>
      </c>
      <c r="N329" s="18" t="str">
        <f>IFERROR(VLOOKUP(B329,#REF!,13,FALSE),"")</f>
        <v/>
      </c>
      <c r="O329" s="19" t="str">
        <f>IFERROR(VLOOKUP(B329,#REF!,14,FALSE),"")</f>
        <v/>
      </c>
      <c r="P329" s="19" t="str">
        <f>IFERROR(VLOOKUP(B329,#REF!,15,FALSE),"")</f>
        <v/>
      </c>
      <c r="Q329" s="19"/>
      <c r="R329" s="25" t="str">
        <f>IFERROR(VLOOKUP(B329,#REF!,16,FALSE),"")</f>
        <v/>
      </c>
      <c r="S329" s="17">
        <v>0</v>
      </c>
      <c r="T329" s="17">
        <v>495000</v>
      </c>
      <c r="U329" s="17">
        <v>0</v>
      </c>
      <c r="V329" s="17">
        <v>0</v>
      </c>
      <c r="W329" s="20">
        <v>995000</v>
      </c>
      <c r="X329" s="16">
        <v>12.2</v>
      </c>
      <c r="Y329" s="21">
        <v>17.7</v>
      </c>
      <c r="Z329" s="20">
        <v>81875</v>
      </c>
      <c r="AA329" s="17">
        <v>56111</v>
      </c>
      <c r="AB329" s="22">
        <v>0.7</v>
      </c>
      <c r="AC329" s="23">
        <f t="shared" si="35"/>
        <v>100</v>
      </c>
      <c r="AD329" s="17">
        <v>5000</v>
      </c>
      <c r="AE329" s="17">
        <v>317500</v>
      </c>
      <c r="AF329" s="17">
        <v>182500</v>
      </c>
      <c r="AG329" s="17">
        <v>22500</v>
      </c>
      <c r="AH329" s="15" t="s">
        <v>42</v>
      </c>
    </row>
    <row r="330" spans="1:34">
      <c r="A330" s="13" t="str">
        <f t="shared" si="30"/>
        <v>FCST</v>
      </c>
      <c r="B330" s="14" t="s">
        <v>159</v>
      </c>
      <c r="C330" s="15" t="s">
        <v>46</v>
      </c>
      <c r="D330" s="19" t="str">
        <f t="shared" si="31"/>
        <v>前八週無拉料</v>
      </c>
      <c r="E330" s="16">
        <f t="shared" si="32"/>
        <v>0</v>
      </c>
      <c r="F330" s="16" t="str">
        <f t="shared" si="33"/>
        <v>--</v>
      </c>
      <c r="G330" s="16">
        <f t="shared" si="34"/>
        <v>0</v>
      </c>
      <c r="H330" s="24" t="str">
        <f>IFERROR(VLOOKUP(B330,#REF!,8,FALSE),"")</f>
        <v/>
      </c>
      <c r="I330" s="17">
        <v>0</v>
      </c>
      <c r="J330" s="17">
        <v>0</v>
      </c>
      <c r="K330" s="24" t="str">
        <f>IFERROR(VLOOKUP(B330,#REF!,11,FALSE),"")</f>
        <v/>
      </c>
      <c r="L330" s="17">
        <v>0</v>
      </c>
      <c r="M330" s="6" t="s">
        <v>744</v>
      </c>
      <c r="N330" s="18" t="str">
        <f>IFERROR(VLOOKUP(B330,#REF!,13,FALSE),"")</f>
        <v/>
      </c>
      <c r="O330" s="19" t="str">
        <f>IFERROR(VLOOKUP(B330,#REF!,14,FALSE),"")</f>
        <v/>
      </c>
      <c r="P330" s="19" t="str">
        <f>IFERROR(VLOOKUP(B330,#REF!,15,FALSE),"")</f>
        <v/>
      </c>
      <c r="Q330" s="19"/>
      <c r="R330" s="25" t="str">
        <f>IFERROR(VLOOKUP(B330,#REF!,16,FALSE),"")</f>
        <v/>
      </c>
      <c r="S330" s="17">
        <v>0</v>
      </c>
      <c r="T330" s="17">
        <v>0</v>
      </c>
      <c r="U330" s="17">
        <v>0</v>
      </c>
      <c r="V330" s="17">
        <v>0</v>
      </c>
      <c r="W330" s="20">
        <v>0</v>
      </c>
      <c r="X330" s="16" t="s">
        <v>40</v>
      </c>
      <c r="Y330" s="21">
        <v>0</v>
      </c>
      <c r="Z330" s="20">
        <v>0</v>
      </c>
      <c r="AA330" s="17">
        <v>556</v>
      </c>
      <c r="AB330" s="22" t="s">
        <v>51</v>
      </c>
      <c r="AC330" s="23" t="str">
        <f t="shared" si="35"/>
        <v>F</v>
      </c>
      <c r="AD330" s="17">
        <v>2500</v>
      </c>
      <c r="AE330" s="17">
        <v>2500</v>
      </c>
      <c r="AF330" s="17">
        <v>0</v>
      </c>
      <c r="AG330" s="17">
        <v>0</v>
      </c>
      <c r="AH330" s="15" t="s">
        <v>42</v>
      </c>
    </row>
    <row r="331" spans="1:34">
      <c r="A331" s="13" t="str">
        <f t="shared" si="30"/>
        <v>OverStock</v>
      </c>
      <c r="B331" s="14" t="s">
        <v>160</v>
      </c>
      <c r="C331" s="15" t="s">
        <v>46</v>
      </c>
      <c r="D331" s="19">
        <f t="shared" si="31"/>
        <v>9.6</v>
      </c>
      <c r="E331" s="16">
        <f t="shared" si="32"/>
        <v>7.7</v>
      </c>
      <c r="F331" s="16">
        <f t="shared" si="33"/>
        <v>17.600000000000001</v>
      </c>
      <c r="G331" s="16">
        <f t="shared" si="34"/>
        <v>14.1</v>
      </c>
      <c r="H331" s="24" t="str">
        <f>IFERROR(VLOOKUP(B331,#REF!,8,FALSE),"")</f>
        <v/>
      </c>
      <c r="I331" s="17">
        <v>55000</v>
      </c>
      <c r="J331" s="17">
        <v>0</v>
      </c>
      <c r="K331" s="24" t="str">
        <f>IFERROR(VLOOKUP(B331,#REF!,11,FALSE),"")</f>
        <v/>
      </c>
      <c r="L331" s="17">
        <v>30000</v>
      </c>
      <c r="M331" s="6" t="s">
        <v>745</v>
      </c>
      <c r="N331" s="18" t="str">
        <f>IFERROR(VLOOKUP(B331,#REF!,13,FALSE),"")</f>
        <v/>
      </c>
      <c r="O331" s="19" t="str">
        <f>IFERROR(VLOOKUP(B331,#REF!,14,FALSE),"")</f>
        <v/>
      </c>
      <c r="P331" s="19" t="str">
        <f>IFERROR(VLOOKUP(B331,#REF!,15,FALSE),"")</f>
        <v/>
      </c>
      <c r="Q331" s="19"/>
      <c r="R331" s="25" t="str">
        <f>IFERROR(VLOOKUP(B331,#REF!,16,FALSE),"")</f>
        <v/>
      </c>
      <c r="S331" s="17">
        <v>0</v>
      </c>
      <c r="T331" s="17">
        <v>30000</v>
      </c>
      <c r="U331" s="17">
        <v>0</v>
      </c>
      <c r="V331" s="17">
        <v>0</v>
      </c>
      <c r="W331" s="20">
        <v>85000</v>
      </c>
      <c r="X331" s="16">
        <v>27.2</v>
      </c>
      <c r="Y331" s="21">
        <v>21.9</v>
      </c>
      <c r="Z331" s="20">
        <v>3125</v>
      </c>
      <c r="AA331" s="17">
        <v>3889</v>
      </c>
      <c r="AB331" s="22">
        <v>1.2</v>
      </c>
      <c r="AC331" s="23">
        <f t="shared" si="35"/>
        <v>100</v>
      </c>
      <c r="AD331" s="17">
        <v>0</v>
      </c>
      <c r="AE331" s="17">
        <v>20000</v>
      </c>
      <c r="AF331" s="17">
        <v>15000</v>
      </c>
      <c r="AG331" s="17">
        <v>15000</v>
      </c>
      <c r="AH331" s="15" t="s">
        <v>42</v>
      </c>
    </row>
    <row r="332" spans="1:34">
      <c r="A332" s="13" t="str">
        <f t="shared" si="30"/>
        <v>Normal</v>
      </c>
      <c r="B332" s="14" t="s">
        <v>161</v>
      </c>
      <c r="C332" s="15" t="s">
        <v>46</v>
      </c>
      <c r="D332" s="19">
        <f t="shared" si="31"/>
        <v>4</v>
      </c>
      <c r="E332" s="16">
        <f t="shared" si="32"/>
        <v>9</v>
      </c>
      <c r="F332" s="16">
        <f t="shared" si="33"/>
        <v>8</v>
      </c>
      <c r="G332" s="16">
        <f t="shared" si="34"/>
        <v>18</v>
      </c>
      <c r="H332" s="24" t="str">
        <f>IFERROR(VLOOKUP(B332,#REF!,8,FALSE),"")</f>
        <v/>
      </c>
      <c r="I332" s="17">
        <v>10000</v>
      </c>
      <c r="J332" s="17">
        <v>0</v>
      </c>
      <c r="K332" s="24" t="str">
        <f>IFERROR(VLOOKUP(B332,#REF!,11,FALSE),"")</f>
        <v/>
      </c>
      <c r="L332" s="17">
        <v>5000</v>
      </c>
      <c r="M332" s="6" t="s">
        <v>745</v>
      </c>
      <c r="N332" s="18" t="str">
        <f>IFERROR(VLOOKUP(B332,#REF!,13,FALSE),"")</f>
        <v/>
      </c>
      <c r="O332" s="19" t="str">
        <f>IFERROR(VLOOKUP(B332,#REF!,14,FALSE),"")</f>
        <v/>
      </c>
      <c r="P332" s="19" t="str">
        <f>IFERROR(VLOOKUP(B332,#REF!,15,FALSE),"")</f>
        <v/>
      </c>
      <c r="Q332" s="19"/>
      <c r="R332" s="25" t="str">
        <f>IFERROR(VLOOKUP(B332,#REF!,16,FALSE),"")</f>
        <v/>
      </c>
      <c r="S332" s="17">
        <v>0</v>
      </c>
      <c r="T332" s="17">
        <v>5000</v>
      </c>
      <c r="U332" s="17">
        <v>0</v>
      </c>
      <c r="V332" s="17">
        <v>0</v>
      </c>
      <c r="W332" s="20">
        <v>15000</v>
      </c>
      <c r="X332" s="16">
        <v>12</v>
      </c>
      <c r="Y332" s="21">
        <v>27</v>
      </c>
      <c r="Z332" s="20">
        <v>1250</v>
      </c>
      <c r="AA332" s="17">
        <v>556</v>
      </c>
      <c r="AB332" s="22">
        <v>0.4</v>
      </c>
      <c r="AC332" s="23">
        <f t="shared" si="35"/>
        <v>50</v>
      </c>
      <c r="AD332" s="17">
        <v>0</v>
      </c>
      <c r="AE332" s="17">
        <v>5000</v>
      </c>
      <c r="AF332" s="17">
        <v>0</v>
      </c>
      <c r="AG332" s="17">
        <v>0</v>
      </c>
      <c r="AH332" s="15" t="s">
        <v>42</v>
      </c>
    </row>
    <row r="333" spans="1:34">
      <c r="A333" s="13" t="str">
        <f t="shared" si="30"/>
        <v>OverStock</v>
      </c>
      <c r="B333" s="14" t="s">
        <v>167</v>
      </c>
      <c r="C333" s="15" t="s">
        <v>46</v>
      </c>
      <c r="D333" s="19">
        <f t="shared" si="31"/>
        <v>0.7</v>
      </c>
      <c r="E333" s="16" t="str">
        <f t="shared" si="32"/>
        <v>--</v>
      </c>
      <c r="F333" s="16">
        <f t="shared" si="33"/>
        <v>163.80000000000001</v>
      </c>
      <c r="G333" s="16" t="str">
        <f t="shared" si="34"/>
        <v>--</v>
      </c>
      <c r="H333" s="24" t="str">
        <f>IFERROR(VLOOKUP(B333,#REF!,8,FALSE),"")</f>
        <v/>
      </c>
      <c r="I333" s="17">
        <v>9500</v>
      </c>
      <c r="J333" s="17">
        <v>9500</v>
      </c>
      <c r="K333" s="24" t="str">
        <f>IFERROR(VLOOKUP(B333,#REF!,11,FALSE),"")</f>
        <v/>
      </c>
      <c r="L333" s="17">
        <v>40</v>
      </c>
      <c r="M333" s="6" t="s">
        <v>745</v>
      </c>
      <c r="N333" s="18" t="str">
        <f>IFERROR(VLOOKUP(B333,#REF!,13,FALSE),"")</f>
        <v/>
      </c>
      <c r="O333" s="19" t="str">
        <f>IFERROR(VLOOKUP(B333,#REF!,14,FALSE),"")</f>
        <v/>
      </c>
      <c r="P333" s="19" t="str">
        <f>IFERROR(VLOOKUP(B333,#REF!,15,FALSE),"")</f>
        <v/>
      </c>
      <c r="Q333" s="19"/>
      <c r="R333" s="25" t="str">
        <f>IFERROR(VLOOKUP(B333,#REF!,16,FALSE),"")</f>
        <v/>
      </c>
      <c r="S333" s="17">
        <v>0</v>
      </c>
      <c r="T333" s="17">
        <v>40</v>
      </c>
      <c r="U333" s="17">
        <v>0</v>
      </c>
      <c r="V333" s="17">
        <v>0</v>
      </c>
      <c r="W333" s="20">
        <v>9540</v>
      </c>
      <c r="X333" s="16">
        <v>164.5</v>
      </c>
      <c r="Y333" s="21" t="s">
        <v>40</v>
      </c>
      <c r="Z333" s="20">
        <v>58</v>
      </c>
      <c r="AA333" s="17" t="s">
        <v>40</v>
      </c>
      <c r="AB333" s="22" t="s">
        <v>41</v>
      </c>
      <c r="AC333" s="23" t="str">
        <f t="shared" si="35"/>
        <v>E</v>
      </c>
      <c r="AD333" s="17">
        <v>0</v>
      </c>
      <c r="AE333" s="17">
        <v>0</v>
      </c>
      <c r="AF333" s="17">
        <v>0</v>
      </c>
      <c r="AG333" s="17">
        <v>0</v>
      </c>
      <c r="AH333" s="15" t="s">
        <v>42</v>
      </c>
    </row>
    <row r="334" spans="1:34">
      <c r="A334" s="13" t="str">
        <f t="shared" si="30"/>
        <v>OverStock</v>
      </c>
      <c r="B334" s="14" t="s">
        <v>172</v>
      </c>
      <c r="C334" s="15" t="s">
        <v>46</v>
      </c>
      <c r="D334" s="19">
        <f t="shared" si="31"/>
        <v>40</v>
      </c>
      <c r="E334" s="16" t="str">
        <f t="shared" si="32"/>
        <v>--</v>
      </c>
      <c r="F334" s="16">
        <f t="shared" si="33"/>
        <v>0</v>
      </c>
      <c r="G334" s="16" t="str">
        <f t="shared" si="34"/>
        <v>--</v>
      </c>
      <c r="H334" s="24" t="str">
        <f>IFERROR(VLOOKUP(B334,#REF!,8,FALSE),"")</f>
        <v/>
      </c>
      <c r="I334" s="17">
        <v>0</v>
      </c>
      <c r="J334" s="17">
        <v>0</v>
      </c>
      <c r="K334" s="24" t="str">
        <f>IFERROR(VLOOKUP(B334,#REF!,11,FALSE),"")</f>
        <v/>
      </c>
      <c r="L334" s="17">
        <v>25000</v>
      </c>
      <c r="M334" s="6" t="s">
        <v>745</v>
      </c>
      <c r="N334" s="18" t="str">
        <f>IFERROR(VLOOKUP(B334,#REF!,13,FALSE),"")</f>
        <v/>
      </c>
      <c r="O334" s="19" t="str">
        <f>IFERROR(VLOOKUP(B334,#REF!,14,FALSE),"")</f>
        <v/>
      </c>
      <c r="P334" s="19" t="str">
        <f>IFERROR(VLOOKUP(B334,#REF!,15,FALSE),"")</f>
        <v/>
      </c>
      <c r="Q334" s="19"/>
      <c r="R334" s="25" t="str">
        <f>IFERROR(VLOOKUP(B334,#REF!,16,FALSE),"")</f>
        <v/>
      </c>
      <c r="S334" s="17">
        <v>0</v>
      </c>
      <c r="T334" s="17">
        <v>25000</v>
      </c>
      <c r="U334" s="17">
        <v>0</v>
      </c>
      <c r="V334" s="17">
        <v>0</v>
      </c>
      <c r="W334" s="20">
        <v>25000</v>
      </c>
      <c r="X334" s="16">
        <v>40</v>
      </c>
      <c r="Y334" s="21" t="s">
        <v>40</v>
      </c>
      <c r="Z334" s="20">
        <v>625</v>
      </c>
      <c r="AA334" s="17" t="s">
        <v>40</v>
      </c>
      <c r="AB334" s="22" t="s">
        <v>41</v>
      </c>
      <c r="AC334" s="23" t="str">
        <f t="shared" si="35"/>
        <v>E</v>
      </c>
      <c r="AD334" s="17">
        <v>0</v>
      </c>
      <c r="AE334" s="17">
        <v>0</v>
      </c>
      <c r="AF334" s="17">
        <v>0</v>
      </c>
      <c r="AG334" s="17">
        <v>0</v>
      </c>
      <c r="AH334" s="15" t="s">
        <v>42</v>
      </c>
    </row>
    <row r="335" spans="1:34">
      <c r="A335" s="13" t="str">
        <f t="shared" si="30"/>
        <v>OverStock</v>
      </c>
      <c r="B335" s="14" t="s">
        <v>175</v>
      </c>
      <c r="C335" s="15" t="s">
        <v>46</v>
      </c>
      <c r="D335" s="19">
        <f t="shared" si="31"/>
        <v>60</v>
      </c>
      <c r="E335" s="16" t="str">
        <f t="shared" si="32"/>
        <v>--</v>
      </c>
      <c r="F335" s="16">
        <f t="shared" si="33"/>
        <v>0</v>
      </c>
      <c r="G335" s="16" t="str">
        <f t="shared" si="34"/>
        <v>--</v>
      </c>
      <c r="H335" s="24" t="str">
        <f>IFERROR(VLOOKUP(B335,#REF!,8,FALSE),"")</f>
        <v/>
      </c>
      <c r="I335" s="17">
        <v>0</v>
      </c>
      <c r="J335" s="17">
        <v>0</v>
      </c>
      <c r="K335" s="24" t="str">
        <f>IFERROR(VLOOKUP(B335,#REF!,11,FALSE),"")</f>
        <v/>
      </c>
      <c r="L335" s="17">
        <v>75000</v>
      </c>
      <c r="M335" s="6" t="s">
        <v>745</v>
      </c>
      <c r="N335" s="18" t="str">
        <f>IFERROR(VLOOKUP(B335,#REF!,13,FALSE),"")</f>
        <v/>
      </c>
      <c r="O335" s="19" t="str">
        <f>IFERROR(VLOOKUP(B335,#REF!,14,FALSE),"")</f>
        <v/>
      </c>
      <c r="P335" s="19" t="str">
        <f>IFERROR(VLOOKUP(B335,#REF!,15,FALSE),"")</f>
        <v/>
      </c>
      <c r="Q335" s="19"/>
      <c r="R335" s="25" t="str">
        <f>IFERROR(VLOOKUP(B335,#REF!,16,FALSE),"")</f>
        <v/>
      </c>
      <c r="S335" s="17">
        <v>0</v>
      </c>
      <c r="T335" s="17">
        <v>75000</v>
      </c>
      <c r="U335" s="17">
        <v>0</v>
      </c>
      <c r="V335" s="17">
        <v>0</v>
      </c>
      <c r="W335" s="20">
        <v>75000</v>
      </c>
      <c r="X335" s="16">
        <v>60</v>
      </c>
      <c r="Y335" s="21" t="s">
        <v>40</v>
      </c>
      <c r="Z335" s="20">
        <v>1250</v>
      </c>
      <c r="AA335" s="17" t="s">
        <v>40</v>
      </c>
      <c r="AB335" s="22" t="s">
        <v>41</v>
      </c>
      <c r="AC335" s="23" t="str">
        <f t="shared" si="35"/>
        <v>E</v>
      </c>
      <c r="AD335" s="17">
        <v>0</v>
      </c>
      <c r="AE335" s="17">
        <v>0</v>
      </c>
      <c r="AF335" s="17">
        <v>0</v>
      </c>
      <c r="AG335" s="17">
        <v>0</v>
      </c>
      <c r="AH335" s="15" t="s">
        <v>42</v>
      </c>
    </row>
    <row r="336" spans="1:34">
      <c r="A336" s="13" t="str">
        <f t="shared" si="30"/>
        <v>Normal</v>
      </c>
      <c r="B336" s="14" t="s">
        <v>176</v>
      </c>
      <c r="C336" s="15" t="s">
        <v>46</v>
      </c>
      <c r="D336" s="19">
        <f t="shared" si="31"/>
        <v>8</v>
      </c>
      <c r="E336" s="16">
        <f t="shared" si="32"/>
        <v>9</v>
      </c>
      <c r="F336" s="16">
        <f t="shared" si="33"/>
        <v>0</v>
      </c>
      <c r="G336" s="16">
        <f t="shared" si="34"/>
        <v>0</v>
      </c>
      <c r="H336" s="24" t="str">
        <f>IFERROR(VLOOKUP(B336,#REF!,8,FALSE),"")</f>
        <v/>
      </c>
      <c r="I336" s="17">
        <v>0</v>
      </c>
      <c r="J336" s="17">
        <v>0</v>
      </c>
      <c r="K336" s="24" t="str">
        <f>IFERROR(VLOOKUP(B336,#REF!,11,FALSE),"")</f>
        <v/>
      </c>
      <c r="L336" s="17">
        <v>2500</v>
      </c>
      <c r="M336" s="6" t="s">
        <v>745</v>
      </c>
      <c r="N336" s="18" t="str">
        <f>IFERROR(VLOOKUP(B336,#REF!,13,FALSE),"")</f>
        <v/>
      </c>
      <c r="O336" s="19" t="str">
        <f>IFERROR(VLOOKUP(B336,#REF!,14,FALSE),"")</f>
        <v/>
      </c>
      <c r="P336" s="19" t="str">
        <f>IFERROR(VLOOKUP(B336,#REF!,15,FALSE),"")</f>
        <v/>
      </c>
      <c r="Q336" s="19"/>
      <c r="R336" s="25" t="str">
        <f>IFERROR(VLOOKUP(B336,#REF!,16,FALSE),"")</f>
        <v/>
      </c>
      <c r="S336" s="17">
        <v>0</v>
      </c>
      <c r="T336" s="17">
        <v>2500</v>
      </c>
      <c r="U336" s="17">
        <v>0</v>
      </c>
      <c r="V336" s="17">
        <v>0</v>
      </c>
      <c r="W336" s="20">
        <v>2500</v>
      </c>
      <c r="X336" s="16">
        <v>8</v>
      </c>
      <c r="Y336" s="21">
        <v>9</v>
      </c>
      <c r="Z336" s="20">
        <v>313</v>
      </c>
      <c r="AA336" s="17">
        <v>278</v>
      </c>
      <c r="AB336" s="22">
        <v>0.9</v>
      </c>
      <c r="AC336" s="23">
        <f t="shared" si="35"/>
        <v>100</v>
      </c>
      <c r="AD336" s="17">
        <v>0</v>
      </c>
      <c r="AE336" s="17">
        <v>0</v>
      </c>
      <c r="AF336" s="17">
        <v>2500</v>
      </c>
      <c r="AG336" s="17">
        <v>0</v>
      </c>
      <c r="AH336" s="15" t="s">
        <v>42</v>
      </c>
    </row>
    <row r="337" spans="1:34">
      <c r="A337" s="13" t="str">
        <f t="shared" si="30"/>
        <v>OverStock</v>
      </c>
      <c r="B337" s="14" t="s">
        <v>177</v>
      </c>
      <c r="C337" s="15" t="s">
        <v>46</v>
      </c>
      <c r="D337" s="19">
        <f t="shared" si="31"/>
        <v>19.399999999999999</v>
      </c>
      <c r="E337" s="16" t="str">
        <f t="shared" si="32"/>
        <v>--</v>
      </c>
      <c r="F337" s="16">
        <f t="shared" si="33"/>
        <v>0</v>
      </c>
      <c r="G337" s="16" t="str">
        <f t="shared" si="34"/>
        <v>--</v>
      </c>
      <c r="H337" s="24" t="str">
        <f>IFERROR(VLOOKUP(B337,#REF!,8,FALSE),"")</f>
        <v/>
      </c>
      <c r="I337" s="17">
        <v>0</v>
      </c>
      <c r="J337" s="17">
        <v>0</v>
      </c>
      <c r="K337" s="24" t="str">
        <f>IFERROR(VLOOKUP(B337,#REF!,11,FALSE),"")</f>
        <v/>
      </c>
      <c r="L337" s="17">
        <v>51000</v>
      </c>
      <c r="M337" s="6" t="s">
        <v>745</v>
      </c>
      <c r="N337" s="18" t="str">
        <f>IFERROR(VLOOKUP(B337,#REF!,13,FALSE),"")</f>
        <v/>
      </c>
      <c r="O337" s="19" t="str">
        <f>IFERROR(VLOOKUP(B337,#REF!,14,FALSE),"")</f>
        <v/>
      </c>
      <c r="P337" s="19" t="str">
        <f>IFERROR(VLOOKUP(B337,#REF!,15,FALSE),"")</f>
        <v/>
      </c>
      <c r="Q337" s="19"/>
      <c r="R337" s="25" t="str">
        <f>IFERROR(VLOOKUP(B337,#REF!,16,FALSE),"")</f>
        <v/>
      </c>
      <c r="S337" s="17">
        <v>0</v>
      </c>
      <c r="T337" s="17">
        <v>51000</v>
      </c>
      <c r="U337" s="17">
        <v>0</v>
      </c>
      <c r="V337" s="17">
        <v>0</v>
      </c>
      <c r="W337" s="20">
        <v>51000</v>
      </c>
      <c r="X337" s="16">
        <v>19.399999999999999</v>
      </c>
      <c r="Y337" s="21" t="s">
        <v>40</v>
      </c>
      <c r="Z337" s="20">
        <v>2625</v>
      </c>
      <c r="AA337" s="17" t="s">
        <v>40</v>
      </c>
      <c r="AB337" s="22" t="s">
        <v>41</v>
      </c>
      <c r="AC337" s="23" t="str">
        <f t="shared" si="35"/>
        <v>E</v>
      </c>
      <c r="AD337" s="17">
        <v>0</v>
      </c>
      <c r="AE337" s="17">
        <v>0</v>
      </c>
      <c r="AF337" s="17">
        <v>0</v>
      </c>
      <c r="AG337" s="17">
        <v>0</v>
      </c>
      <c r="AH337" s="15" t="s">
        <v>42</v>
      </c>
    </row>
    <row r="338" spans="1:34">
      <c r="A338" s="13" t="str">
        <f t="shared" si="30"/>
        <v>Normal</v>
      </c>
      <c r="B338" s="14" t="s">
        <v>179</v>
      </c>
      <c r="C338" s="15" t="s">
        <v>46</v>
      </c>
      <c r="D338" s="19">
        <f t="shared" si="31"/>
        <v>4</v>
      </c>
      <c r="E338" s="16">
        <f t="shared" si="32"/>
        <v>9</v>
      </c>
      <c r="F338" s="16">
        <f t="shared" si="33"/>
        <v>0</v>
      </c>
      <c r="G338" s="16">
        <f t="shared" si="34"/>
        <v>0</v>
      </c>
      <c r="H338" s="24" t="str">
        <f>IFERROR(VLOOKUP(B338,#REF!,8,FALSE),"")</f>
        <v/>
      </c>
      <c r="I338" s="17">
        <v>0</v>
      </c>
      <c r="J338" s="17">
        <v>0</v>
      </c>
      <c r="K338" s="24" t="str">
        <f>IFERROR(VLOOKUP(B338,#REF!,11,FALSE),"")</f>
        <v/>
      </c>
      <c r="L338" s="17">
        <v>5000</v>
      </c>
      <c r="M338" s="6" t="s">
        <v>745</v>
      </c>
      <c r="N338" s="18" t="str">
        <f>IFERROR(VLOOKUP(B338,#REF!,13,FALSE),"")</f>
        <v/>
      </c>
      <c r="O338" s="19" t="str">
        <f>IFERROR(VLOOKUP(B338,#REF!,14,FALSE),"")</f>
        <v/>
      </c>
      <c r="P338" s="19" t="str">
        <f>IFERROR(VLOOKUP(B338,#REF!,15,FALSE),"")</f>
        <v/>
      </c>
      <c r="Q338" s="19"/>
      <c r="R338" s="25" t="str">
        <f>IFERROR(VLOOKUP(B338,#REF!,16,FALSE),"")</f>
        <v/>
      </c>
      <c r="S338" s="17">
        <v>0</v>
      </c>
      <c r="T338" s="17">
        <v>5000</v>
      </c>
      <c r="U338" s="17">
        <v>0</v>
      </c>
      <c r="V338" s="17">
        <v>0</v>
      </c>
      <c r="W338" s="20">
        <v>5000</v>
      </c>
      <c r="X338" s="16">
        <v>4</v>
      </c>
      <c r="Y338" s="21">
        <v>9</v>
      </c>
      <c r="Z338" s="20">
        <v>1250</v>
      </c>
      <c r="AA338" s="17">
        <v>556</v>
      </c>
      <c r="AB338" s="22">
        <v>0.4</v>
      </c>
      <c r="AC338" s="23">
        <f t="shared" si="35"/>
        <v>50</v>
      </c>
      <c r="AD338" s="17">
        <v>0</v>
      </c>
      <c r="AE338" s="17">
        <v>5000</v>
      </c>
      <c r="AF338" s="17">
        <v>0</v>
      </c>
      <c r="AG338" s="17">
        <v>0</v>
      </c>
      <c r="AH338" s="15" t="s">
        <v>42</v>
      </c>
    </row>
    <row r="339" spans="1:34">
      <c r="A339" s="13" t="str">
        <f t="shared" si="30"/>
        <v>Normal</v>
      </c>
      <c r="B339" s="14" t="s">
        <v>182</v>
      </c>
      <c r="C339" s="15" t="s">
        <v>46</v>
      </c>
      <c r="D339" s="19">
        <f t="shared" si="31"/>
        <v>4</v>
      </c>
      <c r="E339" s="16" t="str">
        <f t="shared" si="32"/>
        <v>--</v>
      </c>
      <c r="F339" s="16">
        <f t="shared" si="33"/>
        <v>4</v>
      </c>
      <c r="G339" s="16" t="str">
        <f t="shared" si="34"/>
        <v>--</v>
      </c>
      <c r="H339" s="24" t="str">
        <f>IFERROR(VLOOKUP(B339,#REF!,8,FALSE),"")</f>
        <v/>
      </c>
      <c r="I339" s="17">
        <v>10000</v>
      </c>
      <c r="J339" s="17">
        <v>10000</v>
      </c>
      <c r="K339" s="24" t="str">
        <f>IFERROR(VLOOKUP(B339,#REF!,11,FALSE),"")</f>
        <v/>
      </c>
      <c r="L339" s="17">
        <v>10000</v>
      </c>
      <c r="M339" s="6" t="s">
        <v>745</v>
      </c>
      <c r="N339" s="18" t="str">
        <f>IFERROR(VLOOKUP(B339,#REF!,13,FALSE),"")</f>
        <v/>
      </c>
      <c r="O339" s="19" t="str">
        <f>IFERROR(VLOOKUP(B339,#REF!,14,FALSE),"")</f>
        <v/>
      </c>
      <c r="P339" s="19" t="str">
        <f>IFERROR(VLOOKUP(B339,#REF!,15,FALSE),"")</f>
        <v/>
      </c>
      <c r="Q339" s="19"/>
      <c r="R339" s="25" t="str">
        <f>IFERROR(VLOOKUP(B339,#REF!,16,FALSE),"")</f>
        <v/>
      </c>
      <c r="S339" s="17">
        <v>0</v>
      </c>
      <c r="T339" s="17">
        <v>10000</v>
      </c>
      <c r="U339" s="17">
        <v>0</v>
      </c>
      <c r="V339" s="17">
        <v>0</v>
      </c>
      <c r="W339" s="20">
        <v>20000</v>
      </c>
      <c r="X339" s="16">
        <v>8</v>
      </c>
      <c r="Y339" s="21" t="s">
        <v>40</v>
      </c>
      <c r="Z339" s="20">
        <v>2500</v>
      </c>
      <c r="AA339" s="17" t="s">
        <v>40</v>
      </c>
      <c r="AB339" s="22" t="s">
        <v>41</v>
      </c>
      <c r="AC339" s="23" t="str">
        <f t="shared" si="35"/>
        <v>E</v>
      </c>
      <c r="AD339" s="17">
        <v>0</v>
      </c>
      <c r="AE339" s="17">
        <v>0</v>
      </c>
      <c r="AF339" s="17">
        <v>0</v>
      </c>
      <c r="AG339" s="17">
        <v>0</v>
      </c>
      <c r="AH339" s="15" t="s">
        <v>42</v>
      </c>
    </row>
    <row r="340" spans="1:34">
      <c r="A340" s="13" t="str">
        <f t="shared" si="30"/>
        <v>Normal</v>
      </c>
      <c r="B340" s="14" t="s">
        <v>184</v>
      </c>
      <c r="C340" s="15" t="s">
        <v>46</v>
      </c>
      <c r="D340" s="19">
        <f t="shared" si="31"/>
        <v>0</v>
      </c>
      <c r="E340" s="16" t="str">
        <f t="shared" si="32"/>
        <v>--</v>
      </c>
      <c r="F340" s="16">
        <f t="shared" si="33"/>
        <v>0</v>
      </c>
      <c r="G340" s="16" t="str">
        <f t="shared" si="34"/>
        <v>--</v>
      </c>
      <c r="H340" s="24" t="str">
        <f>IFERROR(VLOOKUP(B340,#REF!,8,FALSE),"")</f>
        <v/>
      </c>
      <c r="I340" s="17">
        <v>0</v>
      </c>
      <c r="J340" s="17">
        <v>0</v>
      </c>
      <c r="K340" s="24" t="str">
        <f>IFERROR(VLOOKUP(B340,#REF!,11,FALSE),"")</f>
        <v/>
      </c>
      <c r="L340" s="17">
        <v>0</v>
      </c>
      <c r="M340" s="6" t="s">
        <v>745</v>
      </c>
      <c r="N340" s="18" t="str">
        <f>IFERROR(VLOOKUP(B340,#REF!,13,FALSE),"")</f>
        <v/>
      </c>
      <c r="O340" s="19" t="str">
        <f>IFERROR(VLOOKUP(B340,#REF!,14,FALSE),"")</f>
        <v/>
      </c>
      <c r="P340" s="19" t="str">
        <f>IFERROR(VLOOKUP(B340,#REF!,15,FALSE),"")</f>
        <v/>
      </c>
      <c r="Q340" s="19"/>
      <c r="R340" s="25" t="str">
        <f>IFERROR(VLOOKUP(B340,#REF!,16,FALSE),"")</f>
        <v/>
      </c>
      <c r="S340" s="17">
        <v>0</v>
      </c>
      <c r="T340" s="17">
        <v>0</v>
      </c>
      <c r="U340" s="17">
        <v>0</v>
      </c>
      <c r="V340" s="17">
        <v>0</v>
      </c>
      <c r="W340" s="20">
        <v>0</v>
      </c>
      <c r="X340" s="16">
        <v>0</v>
      </c>
      <c r="Y340" s="21" t="s">
        <v>40</v>
      </c>
      <c r="Z340" s="20">
        <v>625</v>
      </c>
      <c r="AA340" s="17">
        <v>0</v>
      </c>
      <c r="AB340" s="22" t="s">
        <v>41</v>
      </c>
      <c r="AC340" s="23" t="str">
        <f t="shared" si="35"/>
        <v>E</v>
      </c>
      <c r="AD340" s="17">
        <v>0</v>
      </c>
      <c r="AE340" s="17">
        <v>0</v>
      </c>
      <c r="AF340" s="17">
        <v>0</v>
      </c>
      <c r="AG340" s="17">
        <v>0</v>
      </c>
      <c r="AH340" s="15" t="s">
        <v>42</v>
      </c>
    </row>
    <row r="341" spans="1:34">
      <c r="A341" s="13" t="str">
        <f t="shared" si="30"/>
        <v>OverStock</v>
      </c>
      <c r="B341" s="14" t="s">
        <v>185</v>
      </c>
      <c r="C341" s="15" t="s">
        <v>46</v>
      </c>
      <c r="D341" s="19">
        <f t="shared" si="31"/>
        <v>29.3</v>
      </c>
      <c r="E341" s="16" t="str">
        <f t="shared" si="32"/>
        <v>--</v>
      </c>
      <c r="F341" s="16">
        <f t="shared" si="33"/>
        <v>0</v>
      </c>
      <c r="G341" s="16" t="str">
        <f t="shared" si="34"/>
        <v>--</v>
      </c>
      <c r="H341" s="24" t="str">
        <f>IFERROR(VLOOKUP(B341,#REF!,8,FALSE),"")</f>
        <v/>
      </c>
      <c r="I341" s="17">
        <v>0</v>
      </c>
      <c r="J341" s="17">
        <v>0</v>
      </c>
      <c r="K341" s="24" t="str">
        <f>IFERROR(VLOOKUP(B341,#REF!,11,FALSE),"")</f>
        <v/>
      </c>
      <c r="L341" s="17">
        <v>55000</v>
      </c>
      <c r="M341" s="6" t="s">
        <v>745</v>
      </c>
      <c r="N341" s="18" t="str">
        <f>IFERROR(VLOOKUP(B341,#REF!,13,FALSE),"")</f>
        <v/>
      </c>
      <c r="O341" s="19" t="str">
        <f>IFERROR(VLOOKUP(B341,#REF!,14,FALSE),"")</f>
        <v/>
      </c>
      <c r="P341" s="19" t="str">
        <f>IFERROR(VLOOKUP(B341,#REF!,15,FALSE),"")</f>
        <v/>
      </c>
      <c r="Q341" s="19"/>
      <c r="R341" s="25" t="str">
        <f>IFERROR(VLOOKUP(B341,#REF!,16,FALSE),"")</f>
        <v/>
      </c>
      <c r="S341" s="17">
        <v>0</v>
      </c>
      <c r="T341" s="17">
        <v>55000</v>
      </c>
      <c r="U341" s="17">
        <v>0</v>
      </c>
      <c r="V341" s="17">
        <v>0</v>
      </c>
      <c r="W341" s="20">
        <v>55000</v>
      </c>
      <c r="X341" s="16">
        <v>29.3</v>
      </c>
      <c r="Y341" s="21" t="s">
        <v>40</v>
      </c>
      <c r="Z341" s="20">
        <v>1875</v>
      </c>
      <c r="AA341" s="17" t="s">
        <v>40</v>
      </c>
      <c r="AB341" s="22" t="s">
        <v>41</v>
      </c>
      <c r="AC341" s="23" t="str">
        <f t="shared" si="35"/>
        <v>E</v>
      </c>
      <c r="AD341" s="17">
        <v>0</v>
      </c>
      <c r="AE341" s="17">
        <v>0</v>
      </c>
      <c r="AF341" s="17">
        <v>0</v>
      </c>
      <c r="AG341" s="17">
        <v>0</v>
      </c>
      <c r="AH341" s="15" t="s">
        <v>42</v>
      </c>
    </row>
    <row r="342" spans="1:34">
      <c r="A342" s="13" t="str">
        <f t="shared" si="30"/>
        <v>Normal</v>
      </c>
      <c r="B342" s="14" t="s">
        <v>186</v>
      </c>
      <c r="C342" s="15" t="s">
        <v>46</v>
      </c>
      <c r="D342" s="19">
        <f t="shared" si="31"/>
        <v>0</v>
      </c>
      <c r="E342" s="16" t="str">
        <f t="shared" si="32"/>
        <v>--</v>
      </c>
      <c r="F342" s="16">
        <f t="shared" si="33"/>
        <v>0</v>
      </c>
      <c r="G342" s="16" t="str">
        <f t="shared" si="34"/>
        <v>--</v>
      </c>
      <c r="H342" s="24" t="str">
        <f>IFERROR(VLOOKUP(B342,#REF!,8,FALSE),"")</f>
        <v/>
      </c>
      <c r="I342" s="17">
        <v>0</v>
      </c>
      <c r="J342" s="17">
        <v>0</v>
      </c>
      <c r="K342" s="24" t="str">
        <f>IFERROR(VLOOKUP(B342,#REF!,11,FALSE),"")</f>
        <v/>
      </c>
      <c r="L342" s="17">
        <v>0</v>
      </c>
      <c r="M342" s="6" t="s">
        <v>745</v>
      </c>
      <c r="N342" s="18" t="str">
        <f>IFERROR(VLOOKUP(B342,#REF!,13,FALSE),"")</f>
        <v/>
      </c>
      <c r="O342" s="19" t="str">
        <f>IFERROR(VLOOKUP(B342,#REF!,14,FALSE),"")</f>
        <v/>
      </c>
      <c r="P342" s="19" t="str">
        <f>IFERROR(VLOOKUP(B342,#REF!,15,FALSE),"")</f>
        <v/>
      </c>
      <c r="Q342" s="19"/>
      <c r="R342" s="25" t="str">
        <f>IFERROR(VLOOKUP(B342,#REF!,16,FALSE),"")</f>
        <v/>
      </c>
      <c r="S342" s="17">
        <v>0</v>
      </c>
      <c r="T342" s="17">
        <v>0</v>
      </c>
      <c r="U342" s="17">
        <v>0</v>
      </c>
      <c r="V342" s="17">
        <v>0</v>
      </c>
      <c r="W342" s="20">
        <v>0</v>
      </c>
      <c r="X342" s="16">
        <v>0</v>
      </c>
      <c r="Y342" s="21" t="s">
        <v>40</v>
      </c>
      <c r="Z342" s="20">
        <v>625</v>
      </c>
      <c r="AA342" s="17" t="s">
        <v>40</v>
      </c>
      <c r="AB342" s="22" t="s">
        <v>41</v>
      </c>
      <c r="AC342" s="23" t="str">
        <f t="shared" si="35"/>
        <v>E</v>
      </c>
      <c r="AD342" s="17">
        <v>0</v>
      </c>
      <c r="AE342" s="17">
        <v>0</v>
      </c>
      <c r="AF342" s="17">
        <v>0</v>
      </c>
      <c r="AG342" s="17">
        <v>0</v>
      </c>
      <c r="AH342" s="15" t="s">
        <v>42</v>
      </c>
    </row>
    <row r="343" spans="1:34">
      <c r="A343" s="13" t="str">
        <f t="shared" si="30"/>
        <v>None</v>
      </c>
      <c r="B343" s="14" t="s">
        <v>187</v>
      </c>
      <c r="C343" s="15" t="s">
        <v>46</v>
      </c>
      <c r="D343" s="19" t="str">
        <f t="shared" si="31"/>
        <v>前八週無拉料</v>
      </c>
      <c r="E343" s="16" t="str">
        <f t="shared" si="32"/>
        <v>--</v>
      </c>
      <c r="F343" s="16" t="str">
        <f t="shared" si="33"/>
        <v>--</v>
      </c>
      <c r="G343" s="16" t="str">
        <f t="shared" si="34"/>
        <v>--</v>
      </c>
      <c r="H343" s="24" t="str">
        <f>IFERROR(VLOOKUP(B343,#REF!,8,FALSE),"")</f>
        <v/>
      </c>
      <c r="I343" s="17">
        <v>0</v>
      </c>
      <c r="J343" s="17">
        <v>0</v>
      </c>
      <c r="K343" s="24" t="str">
        <f>IFERROR(VLOOKUP(B343,#REF!,11,FALSE),"")</f>
        <v/>
      </c>
      <c r="L343" s="17">
        <v>0</v>
      </c>
      <c r="M343" s="6" t="s">
        <v>745</v>
      </c>
      <c r="N343" s="18" t="str">
        <f>IFERROR(VLOOKUP(B343,#REF!,13,FALSE),"")</f>
        <v/>
      </c>
      <c r="O343" s="19" t="str">
        <f>IFERROR(VLOOKUP(B343,#REF!,14,FALSE),"")</f>
        <v/>
      </c>
      <c r="P343" s="19" t="str">
        <f>IFERROR(VLOOKUP(B343,#REF!,15,FALSE),"")</f>
        <v/>
      </c>
      <c r="Q343" s="19"/>
      <c r="R343" s="25" t="str">
        <f>IFERROR(VLOOKUP(B343,#REF!,16,FALSE),"")</f>
        <v/>
      </c>
      <c r="S343" s="17">
        <v>0</v>
      </c>
      <c r="T343" s="17">
        <v>0</v>
      </c>
      <c r="U343" s="17">
        <v>0</v>
      </c>
      <c r="V343" s="17">
        <v>0</v>
      </c>
      <c r="W343" s="20">
        <v>0</v>
      </c>
      <c r="X343" s="16" t="s">
        <v>40</v>
      </c>
      <c r="Y343" s="21" t="s">
        <v>40</v>
      </c>
      <c r="Z343" s="20">
        <v>0</v>
      </c>
      <c r="AA343" s="17" t="s">
        <v>40</v>
      </c>
      <c r="AB343" s="22" t="s">
        <v>41</v>
      </c>
      <c r="AC343" s="23" t="str">
        <f t="shared" si="35"/>
        <v>E</v>
      </c>
      <c r="AD343" s="17">
        <v>0</v>
      </c>
      <c r="AE343" s="17">
        <v>0</v>
      </c>
      <c r="AF343" s="17">
        <v>0</v>
      </c>
      <c r="AG343" s="17">
        <v>0</v>
      </c>
      <c r="AH343" s="15" t="s">
        <v>42</v>
      </c>
    </row>
    <row r="344" spans="1:34">
      <c r="A344" s="13" t="str">
        <f t="shared" si="30"/>
        <v>Normal</v>
      </c>
      <c r="B344" s="14" t="s">
        <v>188</v>
      </c>
      <c r="C344" s="15" t="s">
        <v>46</v>
      </c>
      <c r="D344" s="19">
        <f t="shared" si="31"/>
        <v>5</v>
      </c>
      <c r="E344" s="16" t="str">
        <f t="shared" si="32"/>
        <v>--</v>
      </c>
      <c r="F344" s="16">
        <f t="shared" si="33"/>
        <v>5</v>
      </c>
      <c r="G344" s="16" t="str">
        <f t="shared" si="34"/>
        <v>--</v>
      </c>
      <c r="H344" s="24" t="str">
        <f>IFERROR(VLOOKUP(B344,#REF!,8,FALSE),"")</f>
        <v/>
      </c>
      <c r="I344" s="17">
        <v>5000</v>
      </c>
      <c r="J344" s="17">
        <v>5000</v>
      </c>
      <c r="K344" s="24" t="str">
        <f>IFERROR(VLOOKUP(B344,#REF!,11,FALSE),"")</f>
        <v/>
      </c>
      <c r="L344" s="17">
        <v>5000</v>
      </c>
      <c r="M344" s="6" t="s">
        <v>745</v>
      </c>
      <c r="N344" s="18" t="str">
        <f>IFERROR(VLOOKUP(B344,#REF!,13,FALSE),"")</f>
        <v/>
      </c>
      <c r="O344" s="19" t="str">
        <f>IFERROR(VLOOKUP(B344,#REF!,14,FALSE),"")</f>
        <v/>
      </c>
      <c r="P344" s="19" t="str">
        <f>IFERROR(VLOOKUP(B344,#REF!,15,FALSE),"")</f>
        <v/>
      </c>
      <c r="Q344" s="19"/>
      <c r="R344" s="25" t="str">
        <f>IFERROR(VLOOKUP(B344,#REF!,16,FALSE),"")</f>
        <v/>
      </c>
      <c r="S344" s="17">
        <v>0</v>
      </c>
      <c r="T344" s="17">
        <v>5000</v>
      </c>
      <c r="U344" s="17">
        <v>0</v>
      </c>
      <c r="V344" s="17">
        <v>0</v>
      </c>
      <c r="W344" s="20">
        <v>10000</v>
      </c>
      <c r="X344" s="16">
        <v>10</v>
      </c>
      <c r="Y344" s="21" t="s">
        <v>40</v>
      </c>
      <c r="Z344" s="20">
        <v>1000</v>
      </c>
      <c r="AA344" s="17" t="s">
        <v>40</v>
      </c>
      <c r="AB344" s="22" t="s">
        <v>41</v>
      </c>
      <c r="AC344" s="23" t="str">
        <f t="shared" si="35"/>
        <v>E</v>
      </c>
      <c r="AD344" s="17">
        <v>0</v>
      </c>
      <c r="AE344" s="17">
        <v>0</v>
      </c>
      <c r="AF344" s="17">
        <v>0</v>
      </c>
      <c r="AG344" s="17">
        <v>0</v>
      </c>
      <c r="AH344" s="15" t="s">
        <v>42</v>
      </c>
    </row>
    <row r="345" spans="1:34">
      <c r="A345" s="13" t="str">
        <f t="shared" si="30"/>
        <v>Normal</v>
      </c>
      <c r="B345" s="14" t="s">
        <v>189</v>
      </c>
      <c r="C345" s="15" t="s">
        <v>46</v>
      </c>
      <c r="D345" s="19">
        <f t="shared" si="31"/>
        <v>1.1000000000000001</v>
      </c>
      <c r="E345" s="16">
        <f t="shared" si="32"/>
        <v>1.6</v>
      </c>
      <c r="F345" s="16">
        <f t="shared" si="33"/>
        <v>5</v>
      </c>
      <c r="G345" s="16">
        <f t="shared" si="34"/>
        <v>7.4</v>
      </c>
      <c r="H345" s="24" t="str">
        <f>IFERROR(VLOOKUP(B345,#REF!,8,FALSE),"")</f>
        <v/>
      </c>
      <c r="I345" s="17">
        <v>67500</v>
      </c>
      <c r="J345" s="17">
        <v>0</v>
      </c>
      <c r="K345" s="24" t="str">
        <f>IFERROR(VLOOKUP(B345,#REF!,11,FALSE),"")</f>
        <v/>
      </c>
      <c r="L345" s="17">
        <v>15000</v>
      </c>
      <c r="M345" s="6" t="s">
        <v>745</v>
      </c>
      <c r="N345" s="18" t="str">
        <f>IFERROR(VLOOKUP(B345,#REF!,13,FALSE),"")</f>
        <v/>
      </c>
      <c r="O345" s="19" t="str">
        <f>IFERROR(VLOOKUP(B345,#REF!,14,FALSE),"")</f>
        <v/>
      </c>
      <c r="P345" s="19" t="str">
        <f>IFERROR(VLOOKUP(B345,#REF!,15,FALSE),"")</f>
        <v/>
      </c>
      <c r="Q345" s="19"/>
      <c r="R345" s="25" t="str">
        <f>IFERROR(VLOOKUP(B345,#REF!,16,FALSE),"")</f>
        <v/>
      </c>
      <c r="S345" s="17">
        <v>0</v>
      </c>
      <c r="T345" s="17">
        <v>15000</v>
      </c>
      <c r="U345" s="17">
        <v>0</v>
      </c>
      <c r="V345" s="17">
        <v>0</v>
      </c>
      <c r="W345" s="20">
        <v>82500</v>
      </c>
      <c r="X345" s="16">
        <v>6.1</v>
      </c>
      <c r="Y345" s="21">
        <v>9</v>
      </c>
      <c r="Z345" s="20">
        <v>13438</v>
      </c>
      <c r="AA345" s="17">
        <v>9167</v>
      </c>
      <c r="AB345" s="22">
        <v>0.7</v>
      </c>
      <c r="AC345" s="23">
        <f t="shared" si="35"/>
        <v>100</v>
      </c>
      <c r="AD345" s="17">
        <v>32500</v>
      </c>
      <c r="AE345" s="17">
        <v>50000</v>
      </c>
      <c r="AF345" s="17">
        <v>0</v>
      </c>
      <c r="AG345" s="17">
        <v>0</v>
      </c>
      <c r="AH345" s="15" t="s">
        <v>42</v>
      </c>
    </row>
    <row r="346" spans="1:34">
      <c r="A346" s="13" t="str">
        <f t="shared" si="30"/>
        <v>OverStock</v>
      </c>
      <c r="B346" s="14" t="s">
        <v>190</v>
      </c>
      <c r="C346" s="15" t="s">
        <v>46</v>
      </c>
      <c r="D346" s="19">
        <f t="shared" si="31"/>
        <v>95.8</v>
      </c>
      <c r="E346" s="16">
        <f t="shared" si="32"/>
        <v>18</v>
      </c>
      <c r="F346" s="16">
        <f t="shared" si="33"/>
        <v>0</v>
      </c>
      <c r="G346" s="16">
        <f t="shared" si="34"/>
        <v>0</v>
      </c>
      <c r="H346" s="24" t="str">
        <f>IFERROR(VLOOKUP(B346,#REF!,8,FALSE),"")</f>
        <v/>
      </c>
      <c r="I346" s="17">
        <v>0</v>
      </c>
      <c r="J346" s="17">
        <v>0</v>
      </c>
      <c r="K346" s="24" t="str">
        <f>IFERROR(VLOOKUP(B346,#REF!,11,FALSE),"")</f>
        <v/>
      </c>
      <c r="L346" s="17">
        <v>30000</v>
      </c>
      <c r="M346" s="6" t="s">
        <v>745</v>
      </c>
      <c r="N346" s="18" t="str">
        <f>IFERROR(VLOOKUP(B346,#REF!,13,FALSE),"")</f>
        <v/>
      </c>
      <c r="O346" s="19" t="str">
        <f>IFERROR(VLOOKUP(B346,#REF!,14,FALSE),"")</f>
        <v/>
      </c>
      <c r="P346" s="19" t="str">
        <f>IFERROR(VLOOKUP(B346,#REF!,15,FALSE),"")</f>
        <v/>
      </c>
      <c r="Q346" s="19"/>
      <c r="R346" s="25" t="str">
        <f>IFERROR(VLOOKUP(B346,#REF!,16,FALSE),"")</f>
        <v/>
      </c>
      <c r="S346" s="17">
        <v>0</v>
      </c>
      <c r="T346" s="17">
        <v>30000</v>
      </c>
      <c r="U346" s="17">
        <v>0</v>
      </c>
      <c r="V346" s="17">
        <v>0</v>
      </c>
      <c r="W346" s="20">
        <v>30000</v>
      </c>
      <c r="X346" s="16">
        <v>95.8</v>
      </c>
      <c r="Y346" s="21">
        <v>18</v>
      </c>
      <c r="Z346" s="20">
        <v>313</v>
      </c>
      <c r="AA346" s="17">
        <v>1667</v>
      </c>
      <c r="AB346" s="22">
        <v>5.3</v>
      </c>
      <c r="AC346" s="23">
        <f t="shared" si="35"/>
        <v>150</v>
      </c>
      <c r="AD346" s="17">
        <v>0</v>
      </c>
      <c r="AE346" s="17">
        <v>5000</v>
      </c>
      <c r="AF346" s="17">
        <v>10000</v>
      </c>
      <c r="AG346" s="17">
        <v>0</v>
      </c>
      <c r="AH346" s="15" t="s">
        <v>42</v>
      </c>
    </row>
    <row r="347" spans="1:34">
      <c r="A347" s="13" t="str">
        <f t="shared" si="30"/>
        <v>OverStock</v>
      </c>
      <c r="B347" s="14" t="s">
        <v>191</v>
      </c>
      <c r="C347" s="15" t="s">
        <v>46</v>
      </c>
      <c r="D347" s="19">
        <f t="shared" si="31"/>
        <v>16</v>
      </c>
      <c r="E347" s="16">
        <f t="shared" si="32"/>
        <v>5.3</v>
      </c>
      <c r="F347" s="16">
        <f t="shared" si="33"/>
        <v>15</v>
      </c>
      <c r="G347" s="16">
        <f t="shared" si="34"/>
        <v>5</v>
      </c>
      <c r="H347" s="24" t="str">
        <f>IFERROR(VLOOKUP(B347,#REF!,8,FALSE),"")</f>
        <v/>
      </c>
      <c r="I347" s="17">
        <v>45000</v>
      </c>
      <c r="J347" s="17">
        <v>0</v>
      </c>
      <c r="K347" s="24" t="str">
        <f>IFERROR(VLOOKUP(B347,#REF!,11,FALSE),"")</f>
        <v/>
      </c>
      <c r="L347" s="17">
        <v>48000</v>
      </c>
      <c r="M347" s="6" t="s">
        <v>745</v>
      </c>
      <c r="N347" s="18" t="str">
        <f>IFERROR(VLOOKUP(B347,#REF!,13,FALSE),"")</f>
        <v/>
      </c>
      <c r="O347" s="19" t="str">
        <f>IFERROR(VLOOKUP(B347,#REF!,14,FALSE),"")</f>
        <v/>
      </c>
      <c r="P347" s="19" t="str">
        <f>IFERROR(VLOOKUP(B347,#REF!,15,FALSE),"")</f>
        <v/>
      </c>
      <c r="Q347" s="19"/>
      <c r="R347" s="25" t="str">
        <f>IFERROR(VLOOKUP(B347,#REF!,16,FALSE),"")</f>
        <v/>
      </c>
      <c r="S347" s="17">
        <v>0</v>
      </c>
      <c r="T347" s="17">
        <v>48000</v>
      </c>
      <c r="U347" s="17">
        <v>0</v>
      </c>
      <c r="V347" s="17">
        <v>0</v>
      </c>
      <c r="W347" s="20">
        <v>93000</v>
      </c>
      <c r="X347" s="16">
        <v>31</v>
      </c>
      <c r="Y347" s="21">
        <v>10.3</v>
      </c>
      <c r="Z347" s="20">
        <v>3000</v>
      </c>
      <c r="AA347" s="17">
        <v>9000</v>
      </c>
      <c r="AB347" s="22">
        <v>3</v>
      </c>
      <c r="AC347" s="23">
        <f t="shared" si="35"/>
        <v>150</v>
      </c>
      <c r="AD347" s="17">
        <v>3000</v>
      </c>
      <c r="AE347" s="17">
        <v>69000</v>
      </c>
      <c r="AF347" s="17">
        <v>9000</v>
      </c>
      <c r="AG347" s="17">
        <v>6000</v>
      </c>
      <c r="AH347" s="15" t="s">
        <v>42</v>
      </c>
    </row>
    <row r="348" spans="1:34">
      <c r="A348" s="13" t="str">
        <f t="shared" si="30"/>
        <v>Normal</v>
      </c>
      <c r="B348" s="14" t="s">
        <v>192</v>
      </c>
      <c r="C348" s="15" t="s">
        <v>46</v>
      </c>
      <c r="D348" s="19">
        <f t="shared" si="31"/>
        <v>2</v>
      </c>
      <c r="E348" s="16">
        <f t="shared" si="32"/>
        <v>2.8</v>
      </c>
      <c r="F348" s="16">
        <f t="shared" si="33"/>
        <v>10.7</v>
      </c>
      <c r="G348" s="16">
        <f t="shared" si="34"/>
        <v>14.7</v>
      </c>
      <c r="H348" s="24" t="str">
        <f>IFERROR(VLOOKUP(B348,#REF!,8,FALSE),"")</f>
        <v/>
      </c>
      <c r="I348" s="17">
        <v>240000</v>
      </c>
      <c r="J348" s="17">
        <v>120000</v>
      </c>
      <c r="K348" s="24" t="str">
        <f>IFERROR(VLOOKUP(B348,#REF!,11,FALSE),"")</f>
        <v/>
      </c>
      <c r="L348" s="17">
        <v>45000</v>
      </c>
      <c r="M348" s="6" t="s">
        <v>745</v>
      </c>
      <c r="N348" s="18" t="str">
        <f>IFERROR(VLOOKUP(B348,#REF!,13,FALSE),"")</f>
        <v/>
      </c>
      <c r="O348" s="19" t="str">
        <f>IFERROR(VLOOKUP(B348,#REF!,14,FALSE),"")</f>
        <v/>
      </c>
      <c r="P348" s="19" t="str">
        <f>IFERROR(VLOOKUP(B348,#REF!,15,FALSE),"")</f>
        <v/>
      </c>
      <c r="Q348" s="19"/>
      <c r="R348" s="25" t="str">
        <f>IFERROR(VLOOKUP(B348,#REF!,16,FALSE),"")</f>
        <v/>
      </c>
      <c r="S348" s="17">
        <v>0</v>
      </c>
      <c r="T348" s="17">
        <v>45000</v>
      </c>
      <c r="U348" s="17">
        <v>0</v>
      </c>
      <c r="V348" s="17">
        <v>0</v>
      </c>
      <c r="W348" s="20">
        <v>285000</v>
      </c>
      <c r="X348" s="16">
        <v>12.7</v>
      </c>
      <c r="Y348" s="21">
        <v>17.399999999999999</v>
      </c>
      <c r="Z348" s="20">
        <v>22500</v>
      </c>
      <c r="AA348" s="17">
        <v>16333</v>
      </c>
      <c r="AB348" s="22">
        <v>0.7</v>
      </c>
      <c r="AC348" s="23">
        <f t="shared" si="35"/>
        <v>100</v>
      </c>
      <c r="AD348" s="17">
        <v>9000</v>
      </c>
      <c r="AE348" s="17">
        <v>87000</v>
      </c>
      <c r="AF348" s="17">
        <v>75000</v>
      </c>
      <c r="AG348" s="17">
        <v>21000</v>
      </c>
      <c r="AH348" s="15" t="s">
        <v>42</v>
      </c>
    </row>
    <row r="349" spans="1:34">
      <c r="A349" s="13" t="str">
        <f t="shared" si="30"/>
        <v>Normal</v>
      </c>
      <c r="B349" s="14" t="s">
        <v>193</v>
      </c>
      <c r="C349" s="15" t="s">
        <v>46</v>
      </c>
      <c r="D349" s="19">
        <f t="shared" si="31"/>
        <v>0</v>
      </c>
      <c r="E349" s="16" t="str">
        <f t="shared" si="32"/>
        <v>--</v>
      </c>
      <c r="F349" s="16">
        <f t="shared" si="33"/>
        <v>0</v>
      </c>
      <c r="G349" s="16" t="str">
        <f t="shared" si="34"/>
        <v>--</v>
      </c>
      <c r="H349" s="24" t="str">
        <f>IFERROR(VLOOKUP(B349,#REF!,8,FALSE),"")</f>
        <v/>
      </c>
      <c r="I349" s="17">
        <v>0</v>
      </c>
      <c r="J349" s="17">
        <v>0</v>
      </c>
      <c r="K349" s="24" t="str">
        <f>IFERROR(VLOOKUP(B349,#REF!,11,FALSE),"")</f>
        <v/>
      </c>
      <c r="L349" s="17">
        <v>0</v>
      </c>
      <c r="M349" s="6" t="s">
        <v>745</v>
      </c>
      <c r="N349" s="18" t="str">
        <f>IFERROR(VLOOKUP(B349,#REF!,13,FALSE),"")</f>
        <v/>
      </c>
      <c r="O349" s="19" t="str">
        <f>IFERROR(VLOOKUP(B349,#REF!,14,FALSE),"")</f>
        <v/>
      </c>
      <c r="P349" s="19" t="str">
        <f>IFERROR(VLOOKUP(B349,#REF!,15,FALSE),"")</f>
        <v/>
      </c>
      <c r="Q349" s="19"/>
      <c r="R349" s="25" t="str">
        <f>IFERROR(VLOOKUP(B349,#REF!,16,FALSE),"")</f>
        <v/>
      </c>
      <c r="S349" s="17">
        <v>0</v>
      </c>
      <c r="T349" s="17">
        <v>0</v>
      </c>
      <c r="U349" s="17">
        <v>0</v>
      </c>
      <c r="V349" s="17">
        <v>0</v>
      </c>
      <c r="W349" s="20">
        <v>0</v>
      </c>
      <c r="X349" s="16">
        <v>0</v>
      </c>
      <c r="Y349" s="21" t="s">
        <v>40</v>
      </c>
      <c r="Z349" s="20">
        <v>625</v>
      </c>
      <c r="AA349" s="17" t="s">
        <v>40</v>
      </c>
      <c r="AB349" s="22" t="s">
        <v>41</v>
      </c>
      <c r="AC349" s="23" t="str">
        <f t="shared" si="35"/>
        <v>E</v>
      </c>
      <c r="AD349" s="17">
        <v>0</v>
      </c>
      <c r="AE349" s="17">
        <v>0</v>
      </c>
      <c r="AF349" s="17">
        <v>0</v>
      </c>
      <c r="AG349" s="17">
        <v>0</v>
      </c>
      <c r="AH349" s="15" t="s">
        <v>42</v>
      </c>
    </row>
    <row r="350" spans="1:34">
      <c r="A350" s="13" t="str">
        <f t="shared" si="30"/>
        <v>Normal</v>
      </c>
      <c r="B350" s="14" t="s">
        <v>194</v>
      </c>
      <c r="C350" s="15" t="s">
        <v>46</v>
      </c>
      <c r="D350" s="19">
        <f t="shared" si="31"/>
        <v>3.6</v>
      </c>
      <c r="E350" s="16">
        <f t="shared" si="32"/>
        <v>4.4000000000000004</v>
      </c>
      <c r="F350" s="16">
        <f t="shared" si="33"/>
        <v>3.8</v>
      </c>
      <c r="G350" s="16">
        <f t="shared" si="34"/>
        <v>4.5999999999999996</v>
      </c>
      <c r="H350" s="24" t="str">
        <f>IFERROR(VLOOKUP(B350,#REF!,8,FALSE),"")</f>
        <v/>
      </c>
      <c r="I350" s="17">
        <v>50000</v>
      </c>
      <c r="J350" s="17">
        <v>50000</v>
      </c>
      <c r="K350" s="24" t="str">
        <f>IFERROR(VLOOKUP(B350,#REF!,11,FALSE),"")</f>
        <v/>
      </c>
      <c r="L350" s="17">
        <v>47500</v>
      </c>
      <c r="M350" s="6" t="s">
        <v>745</v>
      </c>
      <c r="N350" s="18" t="str">
        <f>IFERROR(VLOOKUP(B350,#REF!,13,FALSE),"")</f>
        <v/>
      </c>
      <c r="O350" s="19" t="str">
        <f>IFERROR(VLOOKUP(B350,#REF!,14,FALSE),"")</f>
        <v/>
      </c>
      <c r="P350" s="19" t="str">
        <f>IFERROR(VLOOKUP(B350,#REF!,15,FALSE),"")</f>
        <v/>
      </c>
      <c r="Q350" s="19"/>
      <c r="R350" s="25" t="str">
        <f>IFERROR(VLOOKUP(B350,#REF!,16,FALSE),"")</f>
        <v/>
      </c>
      <c r="S350" s="17">
        <v>0</v>
      </c>
      <c r="T350" s="17">
        <v>47500</v>
      </c>
      <c r="U350" s="17">
        <v>0</v>
      </c>
      <c r="V350" s="17">
        <v>0</v>
      </c>
      <c r="W350" s="20">
        <v>97500</v>
      </c>
      <c r="X350" s="16">
        <v>7.4</v>
      </c>
      <c r="Y350" s="21">
        <v>9</v>
      </c>
      <c r="Z350" s="20">
        <v>13125</v>
      </c>
      <c r="AA350" s="17">
        <v>10833</v>
      </c>
      <c r="AB350" s="22">
        <v>0.8</v>
      </c>
      <c r="AC350" s="23">
        <f t="shared" si="35"/>
        <v>100</v>
      </c>
      <c r="AD350" s="17">
        <v>47500</v>
      </c>
      <c r="AE350" s="17">
        <v>50000</v>
      </c>
      <c r="AF350" s="17">
        <v>0</v>
      </c>
      <c r="AG350" s="17">
        <v>0</v>
      </c>
      <c r="AH350" s="15" t="s">
        <v>42</v>
      </c>
    </row>
    <row r="351" spans="1:34">
      <c r="A351" s="13" t="str">
        <f t="shared" si="30"/>
        <v>Normal</v>
      </c>
      <c r="B351" s="14" t="s">
        <v>195</v>
      </c>
      <c r="C351" s="15" t="s">
        <v>46</v>
      </c>
      <c r="D351" s="19">
        <f t="shared" si="31"/>
        <v>0</v>
      </c>
      <c r="E351" s="16" t="str">
        <f t="shared" si="32"/>
        <v>--</v>
      </c>
      <c r="F351" s="16">
        <f t="shared" si="33"/>
        <v>8.3000000000000007</v>
      </c>
      <c r="G351" s="16" t="str">
        <f t="shared" si="34"/>
        <v>--</v>
      </c>
      <c r="H351" s="24" t="str">
        <f>IFERROR(VLOOKUP(B351,#REF!,8,FALSE),"")</f>
        <v/>
      </c>
      <c r="I351" s="17">
        <v>10000</v>
      </c>
      <c r="J351" s="17">
        <v>10000</v>
      </c>
      <c r="K351" s="24" t="str">
        <f>IFERROR(VLOOKUP(B351,#REF!,11,FALSE),"")</f>
        <v/>
      </c>
      <c r="L351" s="17">
        <v>0</v>
      </c>
      <c r="M351" s="6" t="s">
        <v>745</v>
      </c>
      <c r="N351" s="18" t="str">
        <f>IFERROR(VLOOKUP(B351,#REF!,13,FALSE),"")</f>
        <v/>
      </c>
      <c r="O351" s="19" t="str">
        <f>IFERROR(VLOOKUP(B351,#REF!,14,FALSE),"")</f>
        <v/>
      </c>
      <c r="P351" s="19" t="str">
        <f>IFERROR(VLOOKUP(B351,#REF!,15,FALSE),"")</f>
        <v/>
      </c>
      <c r="Q351" s="19"/>
      <c r="R351" s="25" t="str">
        <f>IFERROR(VLOOKUP(B351,#REF!,16,FALSE),"")</f>
        <v/>
      </c>
      <c r="S351" s="17">
        <v>0</v>
      </c>
      <c r="T351" s="17">
        <v>0</v>
      </c>
      <c r="U351" s="17">
        <v>0</v>
      </c>
      <c r="V351" s="17">
        <v>0</v>
      </c>
      <c r="W351" s="20">
        <v>10000</v>
      </c>
      <c r="X351" s="16">
        <v>8.3000000000000007</v>
      </c>
      <c r="Y351" s="21" t="s">
        <v>40</v>
      </c>
      <c r="Z351" s="20">
        <v>1205</v>
      </c>
      <c r="AA351" s="17" t="s">
        <v>40</v>
      </c>
      <c r="AB351" s="22" t="s">
        <v>41</v>
      </c>
      <c r="AC351" s="23" t="str">
        <f t="shared" si="35"/>
        <v>E</v>
      </c>
      <c r="AD351" s="17">
        <v>0</v>
      </c>
      <c r="AE351" s="17">
        <v>0</v>
      </c>
      <c r="AF351" s="17">
        <v>0</v>
      </c>
      <c r="AG351" s="17">
        <v>0</v>
      </c>
      <c r="AH351" s="15" t="s">
        <v>42</v>
      </c>
    </row>
    <row r="352" spans="1:34">
      <c r="A352" s="13" t="str">
        <f t="shared" si="30"/>
        <v>OverStock</v>
      </c>
      <c r="B352" s="14" t="s">
        <v>196</v>
      </c>
      <c r="C352" s="15" t="s">
        <v>46</v>
      </c>
      <c r="D352" s="19">
        <f t="shared" si="31"/>
        <v>43.2</v>
      </c>
      <c r="E352" s="16" t="str">
        <f t="shared" si="32"/>
        <v>--</v>
      </c>
      <c r="F352" s="16">
        <f t="shared" si="33"/>
        <v>0</v>
      </c>
      <c r="G352" s="16" t="str">
        <f t="shared" si="34"/>
        <v>--</v>
      </c>
      <c r="H352" s="24" t="str">
        <f>IFERROR(VLOOKUP(B352,#REF!,8,FALSE),"")</f>
        <v/>
      </c>
      <c r="I352" s="17">
        <v>0</v>
      </c>
      <c r="J352" s="17">
        <v>0</v>
      </c>
      <c r="K352" s="24" t="str">
        <f>IFERROR(VLOOKUP(B352,#REF!,11,FALSE),"")</f>
        <v/>
      </c>
      <c r="L352" s="17">
        <v>27000</v>
      </c>
      <c r="M352" s="6" t="s">
        <v>745</v>
      </c>
      <c r="N352" s="18" t="str">
        <f>IFERROR(VLOOKUP(B352,#REF!,13,FALSE),"")</f>
        <v/>
      </c>
      <c r="O352" s="19" t="str">
        <f>IFERROR(VLOOKUP(B352,#REF!,14,FALSE),"")</f>
        <v/>
      </c>
      <c r="P352" s="19" t="str">
        <f>IFERROR(VLOOKUP(B352,#REF!,15,FALSE),"")</f>
        <v/>
      </c>
      <c r="Q352" s="19"/>
      <c r="R352" s="25" t="str">
        <f>IFERROR(VLOOKUP(B352,#REF!,16,FALSE),"")</f>
        <v/>
      </c>
      <c r="S352" s="17">
        <v>0</v>
      </c>
      <c r="T352" s="17">
        <v>27000</v>
      </c>
      <c r="U352" s="17">
        <v>0</v>
      </c>
      <c r="V352" s="17">
        <v>0</v>
      </c>
      <c r="W352" s="20">
        <v>27000</v>
      </c>
      <c r="X352" s="16">
        <v>43.2</v>
      </c>
      <c r="Y352" s="21" t="s">
        <v>40</v>
      </c>
      <c r="Z352" s="20">
        <v>625</v>
      </c>
      <c r="AA352" s="17" t="s">
        <v>40</v>
      </c>
      <c r="AB352" s="22" t="s">
        <v>41</v>
      </c>
      <c r="AC352" s="23" t="str">
        <f t="shared" si="35"/>
        <v>E</v>
      </c>
      <c r="AD352" s="17">
        <v>0</v>
      </c>
      <c r="AE352" s="17">
        <v>0</v>
      </c>
      <c r="AF352" s="17">
        <v>0</v>
      </c>
      <c r="AG352" s="17">
        <v>0</v>
      </c>
      <c r="AH352" s="15" t="s">
        <v>42</v>
      </c>
    </row>
    <row r="353" spans="1:34">
      <c r="A353" s="13" t="str">
        <f t="shared" si="30"/>
        <v>Normal</v>
      </c>
      <c r="B353" s="14" t="s">
        <v>197</v>
      </c>
      <c r="C353" s="15" t="s">
        <v>46</v>
      </c>
      <c r="D353" s="19">
        <f t="shared" si="31"/>
        <v>0</v>
      </c>
      <c r="E353" s="16" t="str">
        <f t="shared" si="32"/>
        <v>--</v>
      </c>
      <c r="F353" s="16">
        <f t="shared" si="33"/>
        <v>8.3000000000000007</v>
      </c>
      <c r="G353" s="16" t="str">
        <f t="shared" si="34"/>
        <v>--</v>
      </c>
      <c r="H353" s="24" t="str">
        <f>IFERROR(VLOOKUP(B353,#REF!,8,FALSE),"")</f>
        <v/>
      </c>
      <c r="I353" s="17">
        <v>5000</v>
      </c>
      <c r="J353" s="17">
        <v>5000</v>
      </c>
      <c r="K353" s="24" t="str">
        <f>IFERROR(VLOOKUP(B353,#REF!,11,FALSE),"")</f>
        <v/>
      </c>
      <c r="L353" s="17">
        <v>0</v>
      </c>
      <c r="M353" s="6" t="s">
        <v>745</v>
      </c>
      <c r="N353" s="18" t="str">
        <f>IFERROR(VLOOKUP(B353,#REF!,13,FALSE),"")</f>
        <v/>
      </c>
      <c r="O353" s="19" t="str">
        <f>IFERROR(VLOOKUP(B353,#REF!,14,FALSE),"")</f>
        <v/>
      </c>
      <c r="P353" s="19" t="str">
        <f>IFERROR(VLOOKUP(B353,#REF!,15,FALSE),"")</f>
        <v/>
      </c>
      <c r="Q353" s="19"/>
      <c r="R353" s="25" t="str">
        <f>IFERROR(VLOOKUP(B353,#REF!,16,FALSE),"")</f>
        <v/>
      </c>
      <c r="S353" s="17">
        <v>0</v>
      </c>
      <c r="T353" s="17">
        <v>0</v>
      </c>
      <c r="U353" s="17">
        <v>0</v>
      </c>
      <c r="V353" s="17">
        <v>0</v>
      </c>
      <c r="W353" s="20">
        <v>5000</v>
      </c>
      <c r="X353" s="16">
        <v>8.3000000000000007</v>
      </c>
      <c r="Y353" s="21" t="s">
        <v>40</v>
      </c>
      <c r="Z353" s="20">
        <v>603</v>
      </c>
      <c r="AA353" s="17" t="s">
        <v>40</v>
      </c>
      <c r="AB353" s="22" t="s">
        <v>41</v>
      </c>
      <c r="AC353" s="23" t="str">
        <f t="shared" si="35"/>
        <v>E</v>
      </c>
      <c r="AD353" s="17">
        <v>0</v>
      </c>
      <c r="AE353" s="17">
        <v>0</v>
      </c>
      <c r="AF353" s="17">
        <v>0</v>
      </c>
      <c r="AG353" s="17">
        <v>0</v>
      </c>
      <c r="AH353" s="15" t="s">
        <v>42</v>
      </c>
    </row>
    <row r="354" spans="1:34">
      <c r="A354" s="13" t="str">
        <f t="shared" si="30"/>
        <v>FCST</v>
      </c>
      <c r="B354" s="14" t="s">
        <v>199</v>
      </c>
      <c r="C354" s="15" t="s">
        <v>46</v>
      </c>
      <c r="D354" s="19" t="str">
        <f t="shared" si="31"/>
        <v>前八週無拉料</v>
      </c>
      <c r="E354" s="16">
        <f t="shared" si="32"/>
        <v>0</v>
      </c>
      <c r="F354" s="16" t="str">
        <f t="shared" si="33"/>
        <v>--</v>
      </c>
      <c r="G354" s="16">
        <f t="shared" si="34"/>
        <v>89.9</v>
      </c>
      <c r="H354" s="24" t="str">
        <f>IFERROR(VLOOKUP(B354,#REF!,8,FALSE),"")</f>
        <v/>
      </c>
      <c r="I354" s="17">
        <v>25000</v>
      </c>
      <c r="J354" s="17">
        <v>0</v>
      </c>
      <c r="K354" s="24" t="str">
        <f>IFERROR(VLOOKUP(B354,#REF!,11,FALSE),"")</f>
        <v/>
      </c>
      <c r="L354" s="17">
        <v>0</v>
      </c>
      <c r="M354" s="6" t="s">
        <v>745</v>
      </c>
      <c r="N354" s="18" t="str">
        <f>IFERROR(VLOOKUP(B354,#REF!,13,FALSE),"")</f>
        <v/>
      </c>
      <c r="O354" s="19" t="str">
        <f>IFERROR(VLOOKUP(B354,#REF!,14,FALSE),"")</f>
        <v/>
      </c>
      <c r="P354" s="19" t="str">
        <f>IFERROR(VLOOKUP(B354,#REF!,15,FALSE),"")</f>
        <v/>
      </c>
      <c r="Q354" s="19"/>
      <c r="R354" s="25" t="str">
        <f>IFERROR(VLOOKUP(B354,#REF!,16,FALSE),"")</f>
        <v/>
      </c>
      <c r="S354" s="17">
        <v>0</v>
      </c>
      <c r="T354" s="17">
        <v>0</v>
      </c>
      <c r="U354" s="17">
        <v>0</v>
      </c>
      <c r="V354" s="17">
        <v>0</v>
      </c>
      <c r="W354" s="20">
        <v>25000</v>
      </c>
      <c r="X354" s="16" t="s">
        <v>40</v>
      </c>
      <c r="Y354" s="21">
        <v>89.9</v>
      </c>
      <c r="Z354" s="20">
        <v>0</v>
      </c>
      <c r="AA354" s="17">
        <v>278</v>
      </c>
      <c r="AB354" s="22" t="s">
        <v>51</v>
      </c>
      <c r="AC354" s="23" t="str">
        <f t="shared" si="35"/>
        <v>F</v>
      </c>
      <c r="AD354" s="17">
        <v>0</v>
      </c>
      <c r="AE354" s="17">
        <v>0</v>
      </c>
      <c r="AF354" s="17">
        <v>2500</v>
      </c>
      <c r="AG354" s="17">
        <v>10000</v>
      </c>
      <c r="AH354" s="15" t="s">
        <v>42</v>
      </c>
    </row>
    <row r="355" spans="1:34">
      <c r="A355" s="13" t="str">
        <f t="shared" si="30"/>
        <v>Normal</v>
      </c>
      <c r="B355" s="14" t="s">
        <v>200</v>
      </c>
      <c r="C355" s="15" t="s">
        <v>46</v>
      </c>
      <c r="D355" s="19">
        <f t="shared" si="31"/>
        <v>0</v>
      </c>
      <c r="E355" s="16" t="str">
        <f t="shared" si="32"/>
        <v>--</v>
      </c>
      <c r="F355" s="16">
        <f t="shared" si="33"/>
        <v>16</v>
      </c>
      <c r="G355" s="16" t="str">
        <f t="shared" si="34"/>
        <v>--</v>
      </c>
      <c r="H355" s="24" t="str">
        <f>IFERROR(VLOOKUP(B355,#REF!,8,FALSE),"")</f>
        <v/>
      </c>
      <c r="I355" s="17">
        <v>10000</v>
      </c>
      <c r="J355" s="17">
        <v>10000</v>
      </c>
      <c r="K355" s="24" t="str">
        <f>IFERROR(VLOOKUP(B355,#REF!,11,FALSE),"")</f>
        <v/>
      </c>
      <c r="L355" s="17">
        <v>0</v>
      </c>
      <c r="M355" s="6" t="s">
        <v>745</v>
      </c>
      <c r="N355" s="18" t="str">
        <f>IFERROR(VLOOKUP(B355,#REF!,13,FALSE),"")</f>
        <v/>
      </c>
      <c r="O355" s="19" t="str">
        <f>IFERROR(VLOOKUP(B355,#REF!,14,FALSE),"")</f>
        <v/>
      </c>
      <c r="P355" s="19" t="str">
        <f>IFERROR(VLOOKUP(B355,#REF!,15,FALSE),"")</f>
        <v/>
      </c>
      <c r="Q355" s="19"/>
      <c r="R355" s="25" t="str">
        <f>IFERROR(VLOOKUP(B355,#REF!,16,FALSE),"")</f>
        <v/>
      </c>
      <c r="S355" s="17">
        <v>0</v>
      </c>
      <c r="T355" s="17">
        <v>0</v>
      </c>
      <c r="U355" s="17">
        <v>0</v>
      </c>
      <c r="V355" s="17">
        <v>0</v>
      </c>
      <c r="W355" s="20">
        <v>10000</v>
      </c>
      <c r="X355" s="16">
        <v>16</v>
      </c>
      <c r="Y355" s="21" t="s">
        <v>40</v>
      </c>
      <c r="Z355" s="20">
        <v>625</v>
      </c>
      <c r="AA355" s="17" t="s">
        <v>40</v>
      </c>
      <c r="AB355" s="22" t="s">
        <v>41</v>
      </c>
      <c r="AC355" s="23" t="str">
        <f t="shared" si="35"/>
        <v>E</v>
      </c>
      <c r="AD355" s="17">
        <v>0</v>
      </c>
      <c r="AE355" s="17">
        <v>0</v>
      </c>
      <c r="AF355" s="17">
        <v>0</v>
      </c>
      <c r="AG355" s="17">
        <v>0</v>
      </c>
      <c r="AH355" s="15" t="s">
        <v>42</v>
      </c>
    </row>
    <row r="356" spans="1:34">
      <c r="A356" s="13" t="str">
        <f t="shared" si="30"/>
        <v>ZeroZero</v>
      </c>
      <c r="B356" s="14" t="s">
        <v>201</v>
      </c>
      <c r="C356" s="15" t="s">
        <v>46</v>
      </c>
      <c r="D356" s="19" t="str">
        <f t="shared" si="31"/>
        <v>前八週無拉料</v>
      </c>
      <c r="E356" s="16" t="str">
        <f t="shared" si="32"/>
        <v>--</v>
      </c>
      <c r="F356" s="16" t="str">
        <f t="shared" si="33"/>
        <v>--</v>
      </c>
      <c r="G356" s="16" t="str">
        <f t="shared" si="34"/>
        <v>--</v>
      </c>
      <c r="H356" s="24" t="str">
        <f>IFERROR(VLOOKUP(B356,#REF!,8,FALSE),"")</f>
        <v/>
      </c>
      <c r="I356" s="17">
        <v>10000</v>
      </c>
      <c r="J356" s="17">
        <v>10000</v>
      </c>
      <c r="K356" s="24" t="str">
        <f>IFERROR(VLOOKUP(B356,#REF!,11,FALSE),"")</f>
        <v/>
      </c>
      <c r="L356" s="17">
        <v>0</v>
      </c>
      <c r="M356" s="6" t="s">
        <v>745</v>
      </c>
      <c r="N356" s="18" t="str">
        <f>IFERROR(VLOOKUP(B356,#REF!,13,FALSE),"")</f>
        <v/>
      </c>
      <c r="O356" s="19" t="str">
        <f>IFERROR(VLOOKUP(B356,#REF!,14,FALSE),"")</f>
        <v/>
      </c>
      <c r="P356" s="19" t="str">
        <f>IFERROR(VLOOKUP(B356,#REF!,15,FALSE),"")</f>
        <v/>
      </c>
      <c r="Q356" s="19"/>
      <c r="R356" s="25" t="str">
        <f>IFERROR(VLOOKUP(B356,#REF!,16,FALSE),"")</f>
        <v/>
      </c>
      <c r="S356" s="17">
        <v>0</v>
      </c>
      <c r="T356" s="17">
        <v>0</v>
      </c>
      <c r="U356" s="17">
        <v>0</v>
      </c>
      <c r="V356" s="17">
        <v>0</v>
      </c>
      <c r="W356" s="20">
        <v>10000</v>
      </c>
      <c r="X356" s="16" t="s">
        <v>40</v>
      </c>
      <c r="Y356" s="21" t="s">
        <v>40</v>
      </c>
      <c r="Z356" s="20">
        <v>0</v>
      </c>
      <c r="AA356" s="17" t="s">
        <v>40</v>
      </c>
      <c r="AB356" s="22" t="s">
        <v>41</v>
      </c>
      <c r="AC356" s="23" t="str">
        <f t="shared" si="35"/>
        <v>E</v>
      </c>
      <c r="AD356" s="17">
        <v>0</v>
      </c>
      <c r="AE356" s="17">
        <v>0</v>
      </c>
      <c r="AF356" s="17">
        <v>0</v>
      </c>
      <c r="AG356" s="17">
        <v>0</v>
      </c>
      <c r="AH356" s="15" t="s">
        <v>42</v>
      </c>
    </row>
    <row r="357" spans="1:34">
      <c r="A357" s="13" t="str">
        <f t="shared" si="30"/>
        <v>OverStock</v>
      </c>
      <c r="B357" s="14" t="s">
        <v>202</v>
      </c>
      <c r="C357" s="15" t="s">
        <v>46</v>
      </c>
      <c r="D357" s="19">
        <f t="shared" si="31"/>
        <v>16</v>
      </c>
      <c r="E357" s="16">
        <f t="shared" si="32"/>
        <v>3.6</v>
      </c>
      <c r="F357" s="16">
        <f t="shared" si="33"/>
        <v>80</v>
      </c>
      <c r="G357" s="16">
        <f t="shared" si="34"/>
        <v>18</v>
      </c>
      <c r="H357" s="24" t="str">
        <f>IFERROR(VLOOKUP(B357,#REF!,8,FALSE),"")</f>
        <v/>
      </c>
      <c r="I357" s="17">
        <v>50000</v>
      </c>
      <c r="J357" s="17">
        <v>10000</v>
      </c>
      <c r="K357" s="24" t="str">
        <f>IFERROR(VLOOKUP(B357,#REF!,11,FALSE),"")</f>
        <v/>
      </c>
      <c r="L357" s="17">
        <v>10000</v>
      </c>
      <c r="M357" s="6" t="s">
        <v>745</v>
      </c>
      <c r="N357" s="18" t="str">
        <f>IFERROR(VLOOKUP(B357,#REF!,13,FALSE),"")</f>
        <v/>
      </c>
      <c r="O357" s="19" t="str">
        <f>IFERROR(VLOOKUP(B357,#REF!,14,FALSE),"")</f>
        <v/>
      </c>
      <c r="P357" s="19" t="str">
        <f>IFERROR(VLOOKUP(B357,#REF!,15,FALSE),"")</f>
        <v/>
      </c>
      <c r="Q357" s="19"/>
      <c r="R357" s="25" t="str">
        <f>IFERROR(VLOOKUP(B357,#REF!,16,FALSE),"")</f>
        <v/>
      </c>
      <c r="S357" s="17">
        <v>0</v>
      </c>
      <c r="T357" s="17">
        <v>10000</v>
      </c>
      <c r="U357" s="17">
        <v>0</v>
      </c>
      <c r="V357" s="17">
        <v>0</v>
      </c>
      <c r="W357" s="20">
        <v>60000</v>
      </c>
      <c r="X357" s="16">
        <v>96</v>
      </c>
      <c r="Y357" s="21">
        <v>21.6</v>
      </c>
      <c r="Z357" s="20">
        <v>625</v>
      </c>
      <c r="AA357" s="17">
        <v>2778</v>
      </c>
      <c r="AB357" s="22">
        <v>4.4000000000000004</v>
      </c>
      <c r="AC357" s="23">
        <f t="shared" si="35"/>
        <v>150</v>
      </c>
      <c r="AD357" s="17">
        <v>0</v>
      </c>
      <c r="AE357" s="17">
        <v>15000</v>
      </c>
      <c r="AF357" s="17">
        <v>10000</v>
      </c>
      <c r="AG357" s="17">
        <v>0</v>
      </c>
      <c r="AH357" s="15" t="s">
        <v>42</v>
      </c>
    </row>
    <row r="358" spans="1:34">
      <c r="A358" s="13" t="str">
        <f t="shared" si="30"/>
        <v>Normal</v>
      </c>
      <c r="B358" s="14" t="s">
        <v>204</v>
      </c>
      <c r="C358" s="15" t="s">
        <v>46</v>
      </c>
      <c r="D358" s="19">
        <f t="shared" si="31"/>
        <v>2.9</v>
      </c>
      <c r="E358" s="16">
        <f t="shared" si="32"/>
        <v>4.7</v>
      </c>
      <c r="F358" s="16">
        <f t="shared" si="33"/>
        <v>10.3</v>
      </c>
      <c r="G358" s="16">
        <f t="shared" si="34"/>
        <v>16.7</v>
      </c>
      <c r="H358" s="24" t="str">
        <f>IFERROR(VLOOKUP(B358,#REF!,8,FALSE),"")</f>
        <v/>
      </c>
      <c r="I358" s="17">
        <v>250000</v>
      </c>
      <c r="J358" s="17">
        <v>250000</v>
      </c>
      <c r="K358" s="24" t="str">
        <f>IFERROR(VLOOKUP(B358,#REF!,11,FALSE),"")</f>
        <v/>
      </c>
      <c r="L358" s="17">
        <v>70000</v>
      </c>
      <c r="M358" s="6" t="s">
        <v>745</v>
      </c>
      <c r="N358" s="18" t="str">
        <f>IFERROR(VLOOKUP(B358,#REF!,13,FALSE),"")</f>
        <v/>
      </c>
      <c r="O358" s="19" t="str">
        <f>IFERROR(VLOOKUP(B358,#REF!,14,FALSE),"")</f>
        <v/>
      </c>
      <c r="P358" s="19" t="str">
        <f>IFERROR(VLOOKUP(B358,#REF!,15,FALSE),"")</f>
        <v/>
      </c>
      <c r="Q358" s="19"/>
      <c r="R358" s="25" t="str">
        <f>IFERROR(VLOOKUP(B358,#REF!,16,FALSE),"")</f>
        <v/>
      </c>
      <c r="S358" s="17">
        <v>0</v>
      </c>
      <c r="T358" s="17">
        <v>70000</v>
      </c>
      <c r="U358" s="17">
        <v>0</v>
      </c>
      <c r="V358" s="17">
        <v>0</v>
      </c>
      <c r="W358" s="20">
        <v>320000</v>
      </c>
      <c r="X358" s="16">
        <v>13.1</v>
      </c>
      <c r="Y358" s="21">
        <v>21.3</v>
      </c>
      <c r="Z358" s="20">
        <v>24375</v>
      </c>
      <c r="AA358" s="17">
        <v>15000</v>
      </c>
      <c r="AB358" s="22">
        <v>0.6</v>
      </c>
      <c r="AC358" s="23">
        <f t="shared" si="35"/>
        <v>100</v>
      </c>
      <c r="AD358" s="17">
        <v>0</v>
      </c>
      <c r="AE358" s="17">
        <v>100000</v>
      </c>
      <c r="AF358" s="17">
        <v>55000</v>
      </c>
      <c r="AG358" s="17">
        <v>20000</v>
      </c>
      <c r="AH358" s="15" t="s">
        <v>42</v>
      </c>
    </row>
    <row r="359" spans="1:34">
      <c r="A359" s="13" t="str">
        <f t="shared" si="30"/>
        <v>Normal</v>
      </c>
      <c r="B359" s="14" t="s">
        <v>205</v>
      </c>
      <c r="C359" s="15" t="s">
        <v>46</v>
      </c>
      <c r="D359" s="19">
        <f t="shared" si="31"/>
        <v>3.2</v>
      </c>
      <c r="E359" s="16" t="str">
        <f t="shared" si="32"/>
        <v>--</v>
      </c>
      <c r="F359" s="16">
        <f t="shared" si="33"/>
        <v>8</v>
      </c>
      <c r="G359" s="16" t="str">
        <f t="shared" si="34"/>
        <v>--</v>
      </c>
      <c r="H359" s="24" t="str">
        <f>IFERROR(VLOOKUP(B359,#REF!,8,FALSE),"")</f>
        <v/>
      </c>
      <c r="I359" s="17">
        <v>50000</v>
      </c>
      <c r="J359" s="17">
        <v>0</v>
      </c>
      <c r="K359" s="24" t="str">
        <f>IFERROR(VLOOKUP(B359,#REF!,11,FALSE),"")</f>
        <v/>
      </c>
      <c r="L359" s="17">
        <v>20000</v>
      </c>
      <c r="M359" s="6" t="s">
        <v>745</v>
      </c>
      <c r="N359" s="18" t="str">
        <f>IFERROR(VLOOKUP(B359,#REF!,13,FALSE),"")</f>
        <v/>
      </c>
      <c r="O359" s="19" t="str">
        <f>IFERROR(VLOOKUP(B359,#REF!,14,FALSE),"")</f>
        <v/>
      </c>
      <c r="P359" s="19" t="str">
        <f>IFERROR(VLOOKUP(B359,#REF!,15,FALSE),"")</f>
        <v/>
      </c>
      <c r="Q359" s="19"/>
      <c r="R359" s="25" t="str">
        <f>IFERROR(VLOOKUP(B359,#REF!,16,FALSE),"")</f>
        <v/>
      </c>
      <c r="S359" s="17">
        <v>0</v>
      </c>
      <c r="T359" s="17">
        <v>20000</v>
      </c>
      <c r="U359" s="17">
        <v>0</v>
      </c>
      <c r="V359" s="17">
        <v>0</v>
      </c>
      <c r="W359" s="20">
        <v>70000</v>
      </c>
      <c r="X359" s="16">
        <v>11.2</v>
      </c>
      <c r="Y359" s="21" t="s">
        <v>40</v>
      </c>
      <c r="Z359" s="20">
        <v>6250</v>
      </c>
      <c r="AA359" s="17" t="s">
        <v>40</v>
      </c>
      <c r="AB359" s="22" t="s">
        <v>41</v>
      </c>
      <c r="AC359" s="23" t="str">
        <f t="shared" si="35"/>
        <v>E</v>
      </c>
      <c r="AD359" s="17">
        <v>0</v>
      </c>
      <c r="AE359" s="17">
        <v>0</v>
      </c>
      <c r="AF359" s="17">
        <v>0</v>
      </c>
      <c r="AG359" s="17">
        <v>0</v>
      </c>
      <c r="AH359" s="15" t="s">
        <v>42</v>
      </c>
    </row>
    <row r="360" spans="1:34">
      <c r="A360" s="13" t="str">
        <f t="shared" si="30"/>
        <v>Normal</v>
      </c>
      <c r="B360" s="14" t="s">
        <v>206</v>
      </c>
      <c r="C360" s="15" t="s">
        <v>46</v>
      </c>
      <c r="D360" s="19">
        <f t="shared" si="31"/>
        <v>7.5</v>
      </c>
      <c r="E360" s="16" t="str">
        <f t="shared" si="32"/>
        <v>--</v>
      </c>
      <c r="F360" s="16">
        <f t="shared" si="33"/>
        <v>8.5</v>
      </c>
      <c r="G360" s="16" t="str">
        <f t="shared" si="34"/>
        <v>--</v>
      </c>
      <c r="H360" s="24" t="str">
        <f>IFERROR(VLOOKUP(B360,#REF!,8,FALSE),"")</f>
        <v/>
      </c>
      <c r="I360" s="17">
        <v>51000</v>
      </c>
      <c r="J360" s="17">
        <v>0</v>
      </c>
      <c r="K360" s="24" t="str">
        <f>IFERROR(VLOOKUP(B360,#REF!,11,FALSE),"")</f>
        <v/>
      </c>
      <c r="L360" s="17">
        <v>45000</v>
      </c>
      <c r="M360" s="6" t="s">
        <v>745</v>
      </c>
      <c r="N360" s="18" t="str">
        <f>IFERROR(VLOOKUP(B360,#REF!,13,FALSE),"")</f>
        <v/>
      </c>
      <c r="O360" s="19" t="str">
        <f>IFERROR(VLOOKUP(B360,#REF!,14,FALSE),"")</f>
        <v/>
      </c>
      <c r="P360" s="19" t="str">
        <f>IFERROR(VLOOKUP(B360,#REF!,15,FALSE),"")</f>
        <v/>
      </c>
      <c r="Q360" s="19"/>
      <c r="R360" s="25" t="str">
        <f>IFERROR(VLOOKUP(B360,#REF!,16,FALSE),"")</f>
        <v/>
      </c>
      <c r="S360" s="17">
        <v>0</v>
      </c>
      <c r="T360" s="17">
        <v>45000</v>
      </c>
      <c r="U360" s="17">
        <v>0</v>
      </c>
      <c r="V360" s="17">
        <v>0</v>
      </c>
      <c r="W360" s="20">
        <v>96000</v>
      </c>
      <c r="X360" s="16">
        <v>16</v>
      </c>
      <c r="Y360" s="21" t="s">
        <v>40</v>
      </c>
      <c r="Z360" s="20">
        <v>6000</v>
      </c>
      <c r="AA360" s="17" t="s">
        <v>40</v>
      </c>
      <c r="AB360" s="22" t="s">
        <v>41</v>
      </c>
      <c r="AC360" s="23" t="str">
        <f t="shared" si="35"/>
        <v>E</v>
      </c>
      <c r="AD360" s="17">
        <v>0</v>
      </c>
      <c r="AE360" s="17">
        <v>0</v>
      </c>
      <c r="AF360" s="17">
        <v>0</v>
      </c>
      <c r="AG360" s="17">
        <v>0</v>
      </c>
      <c r="AH360" s="15" t="s">
        <v>42</v>
      </c>
    </row>
    <row r="361" spans="1:34">
      <c r="A361" s="13" t="str">
        <f t="shared" si="30"/>
        <v>OverStock</v>
      </c>
      <c r="B361" s="14" t="s">
        <v>207</v>
      </c>
      <c r="C361" s="15" t="s">
        <v>46</v>
      </c>
      <c r="D361" s="19">
        <f t="shared" si="31"/>
        <v>24</v>
      </c>
      <c r="E361" s="16">
        <f t="shared" si="32"/>
        <v>11.8</v>
      </c>
      <c r="F361" s="16">
        <f t="shared" si="33"/>
        <v>0</v>
      </c>
      <c r="G361" s="16">
        <f t="shared" si="34"/>
        <v>0</v>
      </c>
      <c r="H361" s="24" t="str">
        <f>IFERROR(VLOOKUP(B361,#REF!,8,FALSE),"")</f>
        <v/>
      </c>
      <c r="I361" s="17">
        <v>0</v>
      </c>
      <c r="J361" s="17">
        <v>0</v>
      </c>
      <c r="K361" s="24" t="str">
        <f>IFERROR(VLOOKUP(B361,#REF!,11,FALSE),"")</f>
        <v/>
      </c>
      <c r="L361" s="17">
        <v>105000</v>
      </c>
      <c r="M361" s="6" t="s">
        <v>745</v>
      </c>
      <c r="N361" s="18" t="str">
        <f>IFERROR(VLOOKUP(B361,#REF!,13,FALSE),"")</f>
        <v/>
      </c>
      <c r="O361" s="19" t="str">
        <f>IFERROR(VLOOKUP(B361,#REF!,14,FALSE),"")</f>
        <v/>
      </c>
      <c r="P361" s="19" t="str">
        <f>IFERROR(VLOOKUP(B361,#REF!,15,FALSE),"")</f>
        <v/>
      </c>
      <c r="Q361" s="19"/>
      <c r="R361" s="25" t="str">
        <f>IFERROR(VLOOKUP(B361,#REF!,16,FALSE),"")</f>
        <v/>
      </c>
      <c r="S361" s="17">
        <v>0</v>
      </c>
      <c r="T361" s="17">
        <v>105000</v>
      </c>
      <c r="U361" s="17">
        <v>0</v>
      </c>
      <c r="V361" s="17">
        <v>0</v>
      </c>
      <c r="W361" s="20">
        <v>105000</v>
      </c>
      <c r="X361" s="16">
        <v>24</v>
      </c>
      <c r="Y361" s="21">
        <v>11.8</v>
      </c>
      <c r="Z361" s="20">
        <v>4375</v>
      </c>
      <c r="AA361" s="17">
        <v>8889</v>
      </c>
      <c r="AB361" s="22">
        <v>2</v>
      </c>
      <c r="AC361" s="23">
        <f t="shared" si="35"/>
        <v>150</v>
      </c>
      <c r="AD361" s="17">
        <v>0</v>
      </c>
      <c r="AE361" s="17">
        <v>80000</v>
      </c>
      <c r="AF361" s="17">
        <v>0</v>
      </c>
      <c r="AG361" s="17">
        <v>5000</v>
      </c>
      <c r="AH361" s="15" t="s">
        <v>42</v>
      </c>
    </row>
    <row r="362" spans="1:34">
      <c r="A362" s="13" t="str">
        <f t="shared" si="30"/>
        <v>Normal</v>
      </c>
      <c r="B362" s="14" t="s">
        <v>208</v>
      </c>
      <c r="C362" s="15" t="s">
        <v>46</v>
      </c>
      <c r="D362" s="19">
        <f t="shared" si="31"/>
        <v>8.1999999999999993</v>
      </c>
      <c r="E362" s="16">
        <f t="shared" si="32"/>
        <v>14.9</v>
      </c>
      <c r="F362" s="16">
        <f t="shared" si="33"/>
        <v>7.4</v>
      </c>
      <c r="G362" s="16">
        <f t="shared" si="34"/>
        <v>13.5</v>
      </c>
      <c r="H362" s="24" t="str">
        <f>IFERROR(VLOOKUP(B362,#REF!,8,FALSE),"")</f>
        <v/>
      </c>
      <c r="I362" s="17">
        <v>120000</v>
      </c>
      <c r="J362" s="17">
        <v>0</v>
      </c>
      <c r="K362" s="24" t="str">
        <f>IFERROR(VLOOKUP(B362,#REF!,11,FALSE),"")</f>
        <v/>
      </c>
      <c r="L362" s="17">
        <v>132500</v>
      </c>
      <c r="M362" s="6" t="s">
        <v>745</v>
      </c>
      <c r="N362" s="18" t="str">
        <f>IFERROR(VLOOKUP(B362,#REF!,13,FALSE),"")</f>
        <v/>
      </c>
      <c r="O362" s="19" t="str">
        <f>IFERROR(VLOOKUP(B362,#REF!,14,FALSE),"")</f>
        <v/>
      </c>
      <c r="P362" s="19" t="str">
        <f>IFERROR(VLOOKUP(B362,#REF!,15,FALSE),"")</f>
        <v/>
      </c>
      <c r="Q362" s="19"/>
      <c r="R362" s="25" t="str">
        <f>IFERROR(VLOOKUP(B362,#REF!,16,FALSE),"")</f>
        <v/>
      </c>
      <c r="S362" s="17">
        <v>0</v>
      </c>
      <c r="T362" s="17">
        <v>132500</v>
      </c>
      <c r="U362" s="17">
        <v>0</v>
      </c>
      <c r="V362" s="17">
        <v>0</v>
      </c>
      <c r="W362" s="20">
        <v>252500</v>
      </c>
      <c r="X362" s="16">
        <v>15.5</v>
      </c>
      <c r="Y362" s="21">
        <v>28.4</v>
      </c>
      <c r="Z362" s="20">
        <v>16250</v>
      </c>
      <c r="AA362" s="17">
        <v>8889</v>
      </c>
      <c r="AB362" s="22">
        <v>0.5</v>
      </c>
      <c r="AC362" s="23">
        <f t="shared" si="35"/>
        <v>100</v>
      </c>
      <c r="AD362" s="17">
        <v>0</v>
      </c>
      <c r="AE362" s="17">
        <v>62500</v>
      </c>
      <c r="AF362" s="17">
        <v>20000</v>
      </c>
      <c r="AG362" s="17">
        <v>15000</v>
      </c>
      <c r="AH362" s="15" t="s">
        <v>42</v>
      </c>
    </row>
    <row r="363" spans="1:34">
      <c r="A363" s="13" t="str">
        <f t="shared" si="30"/>
        <v>OverStock</v>
      </c>
      <c r="B363" s="14" t="s">
        <v>209</v>
      </c>
      <c r="C363" s="15" t="s">
        <v>46</v>
      </c>
      <c r="D363" s="19">
        <f t="shared" si="31"/>
        <v>1</v>
      </c>
      <c r="E363" s="16">
        <f t="shared" si="32"/>
        <v>0.8</v>
      </c>
      <c r="F363" s="16">
        <f t="shared" si="33"/>
        <v>24</v>
      </c>
      <c r="G363" s="16">
        <f t="shared" si="34"/>
        <v>18</v>
      </c>
      <c r="H363" s="24" t="str">
        <f>IFERROR(VLOOKUP(B363,#REF!,8,FALSE),"")</f>
        <v/>
      </c>
      <c r="I363" s="17">
        <v>45000</v>
      </c>
      <c r="J363" s="17">
        <v>45000</v>
      </c>
      <c r="K363" s="24" t="str">
        <f>IFERROR(VLOOKUP(B363,#REF!,11,FALSE),"")</f>
        <v/>
      </c>
      <c r="L363" s="17">
        <v>1950</v>
      </c>
      <c r="M363" s="6" t="s">
        <v>745</v>
      </c>
      <c r="N363" s="18" t="str">
        <f>IFERROR(VLOOKUP(B363,#REF!,13,FALSE),"")</f>
        <v/>
      </c>
      <c r="O363" s="19" t="str">
        <f>IFERROR(VLOOKUP(B363,#REF!,14,FALSE),"")</f>
        <v/>
      </c>
      <c r="P363" s="19" t="str">
        <f>IFERROR(VLOOKUP(B363,#REF!,15,FALSE),"")</f>
        <v/>
      </c>
      <c r="Q363" s="19"/>
      <c r="R363" s="25" t="str">
        <f>IFERROR(VLOOKUP(B363,#REF!,16,FALSE),"")</f>
        <v/>
      </c>
      <c r="S363" s="17">
        <v>0</v>
      </c>
      <c r="T363" s="17">
        <v>1950</v>
      </c>
      <c r="U363" s="17">
        <v>0</v>
      </c>
      <c r="V363" s="17">
        <v>0</v>
      </c>
      <c r="W363" s="20">
        <v>46950</v>
      </c>
      <c r="X363" s="16">
        <v>25</v>
      </c>
      <c r="Y363" s="21">
        <v>18.8</v>
      </c>
      <c r="Z363" s="20">
        <v>1875</v>
      </c>
      <c r="AA363" s="17">
        <v>2500</v>
      </c>
      <c r="AB363" s="22">
        <v>1.3</v>
      </c>
      <c r="AC363" s="23">
        <f t="shared" si="35"/>
        <v>100</v>
      </c>
      <c r="AD363" s="17">
        <v>7500</v>
      </c>
      <c r="AE363" s="17">
        <v>15000</v>
      </c>
      <c r="AF363" s="17">
        <v>7500</v>
      </c>
      <c r="AG363" s="17">
        <v>0</v>
      </c>
      <c r="AH363" s="15" t="s">
        <v>42</v>
      </c>
    </row>
    <row r="364" spans="1:34">
      <c r="A364" s="13" t="str">
        <f t="shared" si="30"/>
        <v>OverStock</v>
      </c>
      <c r="B364" s="14" t="s">
        <v>210</v>
      </c>
      <c r="C364" s="15" t="s">
        <v>46</v>
      </c>
      <c r="D364" s="19">
        <f t="shared" si="31"/>
        <v>2</v>
      </c>
      <c r="E364" s="16">
        <f t="shared" si="32"/>
        <v>1.8</v>
      </c>
      <c r="F364" s="16">
        <f t="shared" si="33"/>
        <v>25.5</v>
      </c>
      <c r="G364" s="16">
        <f t="shared" si="34"/>
        <v>22.7</v>
      </c>
      <c r="H364" s="24" t="str">
        <f>IFERROR(VLOOKUP(B364,#REF!,8,FALSE),"")</f>
        <v/>
      </c>
      <c r="I364" s="17">
        <v>1500000</v>
      </c>
      <c r="J364" s="17">
        <v>300000</v>
      </c>
      <c r="K364" s="24" t="str">
        <f>IFERROR(VLOOKUP(B364,#REF!,11,FALSE),"")</f>
        <v/>
      </c>
      <c r="L364" s="17">
        <v>120000</v>
      </c>
      <c r="M364" s="6" t="s">
        <v>745</v>
      </c>
      <c r="N364" s="18" t="str">
        <f>IFERROR(VLOOKUP(B364,#REF!,13,FALSE),"")</f>
        <v/>
      </c>
      <c r="O364" s="19" t="str">
        <f>IFERROR(VLOOKUP(B364,#REF!,14,FALSE),"")</f>
        <v/>
      </c>
      <c r="P364" s="19" t="str">
        <f>IFERROR(VLOOKUP(B364,#REF!,15,FALSE),"")</f>
        <v/>
      </c>
      <c r="Q364" s="19"/>
      <c r="R364" s="25" t="str">
        <f>IFERROR(VLOOKUP(B364,#REF!,16,FALSE),"")</f>
        <v/>
      </c>
      <c r="S364" s="17">
        <v>0</v>
      </c>
      <c r="T364" s="17">
        <v>120000</v>
      </c>
      <c r="U364" s="17">
        <v>0</v>
      </c>
      <c r="V364" s="17">
        <v>0</v>
      </c>
      <c r="W364" s="20">
        <v>1620000</v>
      </c>
      <c r="X364" s="16">
        <v>27.6</v>
      </c>
      <c r="Y364" s="21">
        <v>24.5</v>
      </c>
      <c r="Z364" s="20">
        <v>58750</v>
      </c>
      <c r="AA364" s="17">
        <v>66111</v>
      </c>
      <c r="AB364" s="22">
        <v>1.1000000000000001</v>
      </c>
      <c r="AC364" s="23">
        <f t="shared" si="35"/>
        <v>100</v>
      </c>
      <c r="AD364" s="17">
        <v>20000</v>
      </c>
      <c r="AE364" s="17">
        <v>360000</v>
      </c>
      <c r="AF364" s="17">
        <v>310000</v>
      </c>
      <c r="AG364" s="17">
        <v>210000</v>
      </c>
      <c r="AH364" s="15" t="s">
        <v>42</v>
      </c>
    </row>
    <row r="365" spans="1:34">
      <c r="A365" s="13" t="str">
        <f t="shared" si="30"/>
        <v>OverStock</v>
      </c>
      <c r="B365" s="14" t="s">
        <v>211</v>
      </c>
      <c r="C365" s="15" t="s">
        <v>46</v>
      </c>
      <c r="D365" s="19">
        <f t="shared" si="31"/>
        <v>4.8</v>
      </c>
      <c r="E365" s="16" t="str">
        <f t="shared" si="32"/>
        <v>--</v>
      </c>
      <c r="F365" s="16">
        <f t="shared" si="33"/>
        <v>33.5</v>
      </c>
      <c r="G365" s="16" t="str">
        <f t="shared" si="34"/>
        <v>--</v>
      </c>
      <c r="H365" s="24" t="str">
        <f>IFERROR(VLOOKUP(B365,#REF!,8,FALSE),"")</f>
        <v/>
      </c>
      <c r="I365" s="17">
        <v>35000</v>
      </c>
      <c r="J365" s="17">
        <v>15000</v>
      </c>
      <c r="K365" s="24" t="str">
        <f>IFERROR(VLOOKUP(B365,#REF!,11,FALSE),"")</f>
        <v/>
      </c>
      <c r="L365" s="17">
        <v>5000</v>
      </c>
      <c r="M365" s="6" t="s">
        <v>745</v>
      </c>
      <c r="N365" s="18" t="str">
        <f>IFERROR(VLOOKUP(B365,#REF!,13,FALSE),"")</f>
        <v/>
      </c>
      <c r="O365" s="19" t="str">
        <f>IFERROR(VLOOKUP(B365,#REF!,14,FALSE),"")</f>
        <v/>
      </c>
      <c r="P365" s="19" t="str">
        <f>IFERROR(VLOOKUP(B365,#REF!,15,FALSE),"")</f>
        <v/>
      </c>
      <c r="Q365" s="19"/>
      <c r="R365" s="25" t="str">
        <f>IFERROR(VLOOKUP(B365,#REF!,16,FALSE),"")</f>
        <v/>
      </c>
      <c r="S365" s="17">
        <v>0</v>
      </c>
      <c r="T365" s="17">
        <v>5000</v>
      </c>
      <c r="U365" s="17">
        <v>0</v>
      </c>
      <c r="V365" s="17">
        <v>0</v>
      </c>
      <c r="W365" s="20">
        <v>40000</v>
      </c>
      <c r="X365" s="16">
        <v>38.299999999999997</v>
      </c>
      <c r="Y365" s="21" t="s">
        <v>40</v>
      </c>
      <c r="Z365" s="20">
        <v>1044</v>
      </c>
      <c r="AA365" s="17" t="s">
        <v>40</v>
      </c>
      <c r="AB365" s="22" t="s">
        <v>41</v>
      </c>
      <c r="AC365" s="23" t="str">
        <f t="shared" si="35"/>
        <v>E</v>
      </c>
      <c r="AD365" s="17">
        <v>0</v>
      </c>
      <c r="AE365" s="17">
        <v>0</v>
      </c>
      <c r="AF365" s="17">
        <v>0</v>
      </c>
      <c r="AG365" s="17">
        <v>0</v>
      </c>
      <c r="AH365" s="15" t="s">
        <v>42</v>
      </c>
    </row>
    <row r="366" spans="1:34">
      <c r="A366" s="13" t="str">
        <f t="shared" si="30"/>
        <v>Normal</v>
      </c>
      <c r="B366" s="14" t="s">
        <v>212</v>
      </c>
      <c r="C366" s="15" t="s">
        <v>46</v>
      </c>
      <c r="D366" s="19">
        <f t="shared" si="31"/>
        <v>3.1</v>
      </c>
      <c r="E366" s="16">
        <f t="shared" si="32"/>
        <v>12.5</v>
      </c>
      <c r="F366" s="16">
        <f t="shared" si="33"/>
        <v>0</v>
      </c>
      <c r="G366" s="16">
        <f t="shared" si="34"/>
        <v>0</v>
      </c>
      <c r="H366" s="24" t="str">
        <f>IFERROR(VLOOKUP(B366,#REF!,8,FALSE),"")</f>
        <v/>
      </c>
      <c r="I366" s="17">
        <v>0</v>
      </c>
      <c r="J366" s="17">
        <v>0</v>
      </c>
      <c r="K366" s="24" t="str">
        <f>IFERROR(VLOOKUP(B366,#REF!,11,FALSE),"")</f>
        <v/>
      </c>
      <c r="L366" s="17">
        <v>387000</v>
      </c>
      <c r="M366" s="6" t="s">
        <v>745</v>
      </c>
      <c r="N366" s="18" t="str">
        <f>IFERROR(VLOOKUP(B366,#REF!,13,FALSE),"")</f>
        <v/>
      </c>
      <c r="O366" s="19" t="str">
        <f>IFERROR(VLOOKUP(B366,#REF!,14,FALSE),"")</f>
        <v/>
      </c>
      <c r="P366" s="19" t="str">
        <f>IFERROR(VLOOKUP(B366,#REF!,15,FALSE),"")</f>
        <v/>
      </c>
      <c r="Q366" s="19"/>
      <c r="R366" s="25" t="str">
        <f>IFERROR(VLOOKUP(B366,#REF!,16,FALSE),"")</f>
        <v/>
      </c>
      <c r="S366" s="17">
        <v>0</v>
      </c>
      <c r="T366" s="17">
        <v>387000</v>
      </c>
      <c r="U366" s="17">
        <v>0</v>
      </c>
      <c r="V366" s="17">
        <v>0</v>
      </c>
      <c r="W366" s="20">
        <v>387000</v>
      </c>
      <c r="X366" s="16">
        <v>3.1</v>
      </c>
      <c r="Y366" s="21">
        <v>12.5</v>
      </c>
      <c r="Z366" s="20">
        <v>126000</v>
      </c>
      <c r="AA366" s="17">
        <v>31000</v>
      </c>
      <c r="AB366" s="22">
        <v>0.2</v>
      </c>
      <c r="AC366" s="23">
        <f t="shared" si="35"/>
        <v>50</v>
      </c>
      <c r="AD366" s="17">
        <v>0</v>
      </c>
      <c r="AE366" s="17">
        <v>273000</v>
      </c>
      <c r="AF366" s="17">
        <v>6000</v>
      </c>
      <c r="AG366" s="17">
        <v>0</v>
      </c>
      <c r="AH366" s="15" t="s">
        <v>42</v>
      </c>
    </row>
    <row r="367" spans="1:34">
      <c r="A367" s="13" t="str">
        <f t="shared" si="30"/>
        <v>OverStock</v>
      </c>
      <c r="B367" s="14" t="s">
        <v>213</v>
      </c>
      <c r="C367" s="15" t="s">
        <v>46</v>
      </c>
      <c r="D367" s="19">
        <f t="shared" si="31"/>
        <v>0</v>
      </c>
      <c r="E367" s="16" t="str">
        <f t="shared" si="32"/>
        <v>--</v>
      </c>
      <c r="F367" s="16">
        <f t="shared" si="33"/>
        <v>17.100000000000001</v>
      </c>
      <c r="G367" s="16" t="str">
        <f t="shared" si="34"/>
        <v>--</v>
      </c>
      <c r="H367" s="24" t="str">
        <f>IFERROR(VLOOKUP(B367,#REF!,8,FALSE),"")</f>
        <v/>
      </c>
      <c r="I367" s="17">
        <v>75000</v>
      </c>
      <c r="J367" s="17">
        <v>30000</v>
      </c>
      <c r="K367" s="24" t="str">
        <f>IFERROR(VLOOKUP(B367,#REF!,11,FALSE),"")</f>
        <v/>
      </c>
      <c r="L367" s="17">
        <v>0</v>
      </c>
      <c r="M367" s="6" t="s">
        <v>745</v>
      </c>
      <c r="N367" s="18" t="str">
        <f>IFERROR(VLOOKUP(B367,#REF!,13,FALSE),"")</f>
        <v/>
      </c>
      <c r="O367" s="19" t="str">
        <f>IFERROR(VLOOKUP(B367,#REF!,14,FALSE),"")</f>
        <v/>
      </c>
      <c r="P367" s="19" t="str">
        <f>IFERROR(VLOOKUP(B367,#REF!,15,FALSE),"")</f>
        <v/>
      </c>
      <c r="Q367" s="19"/>
      <c r="R367" s="25" t="str">
        <f>IFERROR(VLOOKUP(B367,#REF!,16,FALSE),"")</f>
        <v/>
      </c>
      <c r="S367" s="17">
        <v>0</v>
      </c>
      <c r="T367" s="17">
        <v>0</v>
      </c>
      <c r="U367" s="17">
        <v>0</v>
      </c>
      <c r="V367" s="17">
        <v>0</v>
      </c>
      <c r="W367" s="20">
        <v>75000</v>
      </c>
      <c r="X367" s="16">
        <v>17.100000000000001</v>
      </c>
      <c r="Y367" s="21" t="s">
        <v>40</v>
      </c>
      <c r="Z367" s="20">
        <v>4375</v>
      </c>
      <c r="AA367" s="17" t="s">
        <v>40</v>
      </c>
      <c r="AB367" s="22" t="s">
        <v>41</v>
      </c>
      <c r="AC367" s="23" t="str">
        <f t="shared" si="35"/>
        <v>E</v>
      </c>
      <c r="AD367" s="17">
        <v>0</v>
      </c>
      <c r="AE367" s="17">
        <v>0</v>
      </c>
      <c r="AF367" s="17">
        <v>0</v>
      </c>
      <c r="AG367" s="17">
        <v>0</v>
      </c>
      <c r="AH367" s="15" t="s">
        <v>42</v>
      </c>
    </row>
    <row r="368" spans="1:34">
      <c r="A368" s="13" t="str">
        <f t="shared" si="30"/>
        <v>OverStock</v>
      </c>
      <c r="B368" s="14" t="s">
        <v>214</v>
      </c>
      <c r="C368" s="15" t="s">
        <v>46</v>
      </c>
      <c r="D368" s="19">
        <f t="shared" si="31"/>
        <v>32</v>
      </c>
      <c r="E368" s="16">
        <f t="shared" si="32"/>
        <v>36</v>
      </c>
      <c r="F368" s="16">
        <f t="shared" si="33"/>
        <v>0</v>
      </c>
      <c r="G368" s="16">
        <f t="shared" si="34"/>
        <v>0</v>
      </c>
      <c r="H368" s="24" t="str">
        <f>IFERROR(VLOOKUP(B368,#REF!,8,FALSE),"")</f>
        <v/>
      </c>
      <c r="I368" s="17">
        <v>0</v>
      </c>
      <c r="J368" s="17">
        <v>0</v>
      </c>
      <c r="K368" s="24" t="str">
        <f>IFERROR(VLOOKUP(B368,#REF!,11,FALSE),"")</f>
        <v/>
      </c>
      <c r="L368" s="17">
        <v>20000</v>
      </c>
      <c r="M368" s="6" t="s">
        <v>745</v>
      </c>
      <c r="N368" s="18" t="str">
        <f>IFERROR(VLOOKUP(B368,#REF!,13,FALSE),"")</f>
        <v/>
      </c>
      <c r="O368" s="19" t="str">
        <f>IFERROR(VLOOKUP(B368,#REF!,14,FALSE),"")</f>
        <v/>
      </c>
      <c r="P368" s="19" t="str">
        <f>IFERROR(VLOOKUP(B368,#REF!,15,FALSE),"")</f>
        <v/>
      </c>
      <c r="Q368" s="19"/>
      <c r="R368" s="25" t="str">
        <f>IFERROR(VLOOKUP(B368,#REF!,16,FALSE),"")</f>
        <v/>
      </c>
      <c r="S368" s="17">
        <v>0</v>
      </c>
      <c r="T368" s="17">
        <v>20000</v>
      </c>
      <c r="U368" s="17">
        <v>0</v>
      </c>
      <c r="V368" s="17">
        <v>0</v>
      </c>
      <c r="W368" s="20">
        <v>20000</v>
      </c>
      <c r="X368" s="16">
        <v>32</v>
      </c>
      <c r="Y368" s="21">
        <v>36</v>
      </c>
      <c r="Z368" s="20">
        <v>625</v>
      </c>
      <c r="AA368" s="17">
        <v>556</v>
      </c>
      <c r="AB368" s="22">
        <v>0.9</v>
      </c>
      <c r="AC368" s="23">
        <f t="shared" si="35"/>
        <v>100</v>
      </c>
      <c r="AD368" s="17">
        <v>0</v>
      </c>
      <c r="AE368" s="17">
        <v>5000</v>
      </c>
      <c r="AF368" s="17">
        <v>0</v>
      </c>
      <c r="AG368" s="17">
        <v>0</v>
      </c>
      <c r="AH368" s="15" t="s">
        <v>42</v>
      </c>
    </row>
    <row r="369" spans="1:34">
      <c r="A369" s="13" t="str">
        <f t="shared" si="30"/>
        <v>Normal</v>
      </c>
      <c r="B369" s="14" t="s">
        <v>215</v>
      </c>
      <c r="C369" s="15" t="s">
        <v>46</v>
      </c>
      <c r="D369" s="19">
        <f t="shared" si="31"/>
        <v>6</v>
      </c>
      <c r="E369" s="16">
        <f t="shared" si="32"/>
        <v>13.5</v>
      </c>
      <c r="F369" s="16">
        <f t="shared" si="33"/>
        <v>6.7</v>
      </c>
      <c r="G369" s="16">
        <f t="shared" si="34"/>
        <v>15</v>
      </c>
      <c r="H369" s="24" t="str">
        <f>IFERROR(VLOOKUP(B369,#REF!,8,FALSE),"")</f>
        <v/>
      </c>
      <c r="I369" s="17">
        <v>50000</v>
      </c>
      <c r="J369" s="17">
        <v>50000</v>
      </c>
      <c r="K369" s="24" t="str">
        <f>IFERROR(VLOOKUP(B369,#REF!,11,FALSE),"")</f>
        <v/>
      </c>
      <c r="L369" s="17">
        <v>45000</v>
      </c>
      <c r="M369" s="6" t="s">
        <v>745</v>
      </c>
      <c r="N369" s="18" t="str">
        <f>IFERROR(VLOOKUP(B369,#REF!,13,FALSE),"")</f>
        <v/>
      </c>
      <c r="O369" s="19" t="str">
        <f>IFERROR(VLOOKUP(B369,#REF!,14,FALSE),"")</f>
        <v/>
      </c>
      <c r="P369" s="19" t="str">
        <f>IFERROR(VLOOKUP(B369,#REF!,15,FALSE),"")</f>
        <v/>
      </c>
      <c r="Q369" s="19"/>
      <c r="R369" s="25" t="str">
        <f>IFERROR(VLOOKUP(B369,#REF!,16,FALSE),"")</f>
        <v/>
      </c>
      <c r="S369" s="17">
        <v>0</v>
      </c>
      <c r="T369" s="17">
        <v>45000</v>
      </c>
      <c r="U369" s="17">
        <v>0</v>
      </c>
      <c r="V369" s="17">
        <v>0</v>
      </c>
      <c r="W369" s="20">
        <v>95000</v>
      </c>
      <c r="X369" s="16">
        <v>12.7</v>
      </c>
      <c r="Y369" s="21">
        <v>28.5</v>
      </c>
      <c r="Z369" s="20">
        <v>7500</v>
      </c>
      <c r="AA369" s="17">
        <v>3333</v>
      </c>
      <c r="AB369" s="22">
        <v>0.4</v>
      </c>
      <c r="AC369" s="23">
        <f t="shared" si="35"/>
        <v>50</v>
      </c>
      <c r="AD369" s="17">
        <v>0</v>
      </c>
      <c r="AE369" s="17">
        <v>15000</v>
      </c>
      <c r="AF369" s="17">
        <v>15000</v>
      </c>
      <c r="AG369" s="17">
        <v>0</v>
      </c>
      <c r="AH369" s="15" t="s">
        <v>42</v>
      </c>
    </row>
    <row r="370" spans="1:34">
      <c r="A370" s="13" t="str">
        <f t="shared" si="30"/>
        <v>ZeroZero</v>
      </c>
      <c r="B370" s="14" t="s">
        <v>216</v>
      </c>
      <c r="C370" s="15" t="s">
        <v>46</v>
      </c>
      <c r="D370" s="19" t="str">
        <f t="shared" si="31"/>
        <v>前八週無拉料</v>
      </c>
      <c r="E370" s="16" t="str">
        <f t="shared" si="32"/>
        <v>--</v>
      </c>
      <c r="F370" s="16" t="str">
        <f t="shared" si="33"/>
        <v>--</v>
      </c>
      <c r="G370" s="16" t="str">
        <f t="shared" si="34"/>
        <v>--</v>
      </c>
      <c r="H370" s="24" t="str">
        <f>IFERROR(VLOOKUP(B370,#REF!,8,FALSE),"")</f>
        <v/>
      </c>
      <c r="I370" s="17">
        <v>2500</v>
      </c>
      <c r="J370" s="17">
        <v>2500</v>
      </c>
      <c r="K370" s="24" t="str">
        <f>IFERROR(VLOOKUP(B370,#REF!,11,FALSE),"")</f>
        <v/>
      </c>
      <c r="L370" s="17">
        <v>0</v>
      </c>
      <c r="M370" s="6" t="s">
        <v>744</v>
      </c>
      <c r="N370" s="18" t="str">
        <f>IFERROR(VLOOKUP(B370,#REF!,13,FALSE),"")</f>
        <v/>
      </c>
      <c r="O370" s="19" t="str">
        <f>IFERROR(VLOOKUP(B370,#REF!,14,FALSE),"")</f>
        <v/>
      </c>
      <c r="P370" s="19" t="str">
        <f>IFERROR(VLOOKUP(B370,#REF!,15,FALSE),"")</f>
        <v/>
      </c>
      <c r="Q370" s="19"/>
      <c r="R370" s="25" t="str">
        <f>IFERROR(VLOOKUP(B370,#REF!,16,FALSE),"")</f>
        <v/>
      </c>
      <c r="S370" s="17">
        <v>0</v>
      </c>
      <c r="T370" s="17">
        <v>0</v>
      </c>
      <c r="U370" s="17">
        <v>0</v>
      </c>
      <c r="V370" s="17">
        <v>0</v>
      </c>
      <c r="W370" s="20">
        <v>2500</v>
      </c>
      <c r="X370" s="16" t="s">
        <v>40</v>
      </c>
      <c r="Y370" s="21" t="s">
        <v>40</v>
      </c>
      <c r="Z370" s="20">
        <v>0</v>
      </c>
      <c r="AA370" s="17" t="s">
        <v>40</v>
      </c>
      <c r="AB370" s="22" t="s">
        <v>41</v>
      </c>
      <c r="AC370" s="23" t="str">
        <f t="shared" si="35"/>
        <v>E</v>
      </c>
      <c r="AD370" s="17">
        <v>0</v>
      </c>
      <c r="AE370" s="17">
        <v>0</v>
      </c>
      <c r="AF370" s="17">
        <v>0</v>
      </c>
      <c r="AG370" s="17">
        <v>0</v>
      </c>
      <c r="AH370" s="15" t="s">
        <v>42</v>
      </c>
    </row>
    <row r="371" spans="1:34">
      <c r="A371" s="13" t="str">
        <f t="shared" si="30"/>
        <v>Normal</v>
      </c>
      <c r="B371" s="14" t="s">
        <v>217</v>
      </c>
      <c r="C371" s="15" t="s">
        <v>46</v>
      </c>
      <c r="D371" s="19">
        <f t="shared" si="31"/>
        <v>0</v>
      </c>
      <c r="E371" s="16" t="str">
        <f t="shared" si="32"/>
        <v>--</v>
      </c>
      <c r="F371" s="16">
        <f t="shared" si="33"/>
        <v>0</v>
      </c>
      <c r="G371" s="16" t="str">
        <f t="shared" si="34"/>
        <v>--</v>
      </c>
      <c r="H371" s="24" t="str">
        <f>IFERROR(VLOOKUP(B371,#REF!,8,FALSE),"")</f>
        <v/>
      </c>
      <c r="I371" s="17">
        <v>0</v>
      </c>
      <c r="J371" s="17">
        <v>0</v>
      </c>
      <c r="K371" s="24" t="str">
        <f>IFERROR(VLOOKUP(B371,#REF!,11,FALSE),"")</f>
        <v/>
      </c>
      <c r="L371" s="17">
        <v>0</v>
      </c>
      <c r="M371" s="6" t="s">
        <v>745</v>
      </c>
      <c r="N371" s="18" t="str">
        <f>IFERROR(VLOOKUP(B371,#REF!,13,FALSE),"")</f>
        <v/>
      </c>
      <c r="O371" s="19" t="str">
        <f>IFERROR(VLOOKUP(B371,#REF!,14,FALSE),"")</f>
        <v/>
      </c>
      <c r="P371" s="19" t="str">
        <f>IFERROR(VLOOKUP(B371,#REF!,15,FALSE),"")</f>
        <v/>
      </c>
      <c r="Q371" s="19"/>
      <c r="R371" s="25" t="str">
        <f>IFERROR(VLOOKUP(B371,#REF!,16,FALSE),"")</f>
        <v/>
      </c>
      <c r="S371" s="17">
        <v>0</v>
      </c>
      <c r="T371" s="17">
        <v>0</v>
      </c>
      <c r="U371" s="17">
        <v>0</v>
      </c>
      <c r="V371" s="17">
        <v>0</v>
      </c>
      <c r="W371" s="20">
        <v>0</v>
      </c>
      <c r="X371" s="16">
        <v>0</v>
      </c>
      <c r="Y371" s="21" t="s">
        <v>40</v>
      </c>
      <c r="Z371" s="20">
        <v>625</v>
      </c>
      <c r="AA371" s="17" t="s">
        <v>40</v>
      </c>
      <c r="AB371" s="22" t="s">
        <v>41</v>
      </c>
      <c r="AC371" s="23" t="str">
        <f t="shared" si="35"/>
        <v>E</v>
      </c>
      <c r="AD371" s="17">
        <v>0</v>
      </c>
      <c r="AE371" s="17">
        <v>0</v>
      </c>
      <c r="AF371" s="17">
        <v>0</v>
      </c>
      <c r="AG371" s="17">
        <v>0</v>
      </c>
      <c r="AH371" s="15" t="s">
        <v>42</v>
      </c>
    </row>
    <row r="372" spans="1:34">
      <c r="A372" s="13" t="str">
        <f t="shared" si="30"/>
        <v>OverStock</v>
      </c>
      <c r="B372" s="14" t="s">
        <v>218</v>
      </c>
      <c r="C372" s="15" t="s">
        <v>46</v>
      </c>
      <c r="D372" s="19">
        <f t="shared" si="31"/>
        <v>24</v>
      </c>
      <c r="E372" s="16" t="str">
        <f t="shared" si="32"/>
        <v>--</v>
      </c>
      <c r="F372" s="16">
        <f t="shared" si="33"/>
        <v>0</v>
      </c>
      <c r="G372" s="16" t="str">
        <f t="shared" si="34"/>
        <v>--</v>
      </c>
      <c r="H372" s="24" t="str">
        <f>IFERROR(VLOOKUP(B372,#REF!,8,FALSE),"")</f>
        <v/>
      </c>
      <c r="I372" s="17">
        <v>0</v>
      </c>
      <c r="J372" s="17">
        <v>0</v>
      </c>
      <c r="K372" s="24" t="str">
        <f>IFERROR(VLOOKUP(B372,#REF!,11,FALSE),"")</f>
        <v/>
      </c>
      <c r="L372" s="17">
        <v>30000</v>
      </c>
      <c r="M372" s="6" t="s">
        <v>745</v>
      </c>
      <c r="N372" s="18" t="str">
        <f>IFERROR(VLOOKUP(B372,#REF!,13,FALSE),"")</f>
        <v/>
      </c>
      <c r="O372" s="19" t="str">
        <f>IFERROR(VLOOKUP(B372,#REF!,14,FALSE),"")</f>
        <v/>
      </c>
      <c r="P372" s="19" t="str">
        <f>IFERROR(VLOOKUP(B372,#REF!,15,FALSE),"")</f>
        <v/>
      </c>
      <c r="Q372" s="19"/>
      <c r="R372" s="25" t="str">
        <f>IFERROR(VLOOKUP(B372,#REF!,16,FALSE),"")</f>
        <v/>
      </c>
      <c r="S372" s="17">
        <v>0</v>
      </c>
      <c r="T372" s="17">
        <v>30000</v>
      </c>
      <c r="U372" s="17">
        <v>0</v>
      </c>
      <c r="V372" s="17">
        <v>0</v>
      </c>
      <c r="W372" s="20">
        <v>30000</v>
      </c>
      <c r="X372" s="16">
        <v>24</v>
      </c>
      <c r="Y372" s="21" t="s">
        <v>40</v>
      </c>
      <c r="Z372" s="20">
        <v>1250</v>
      </c>
      <c r="AA372" s="17" t="s">
        <v>40</v>
      </c>
      <c r="AB372" s="22" t="s">
        <v>41</v>
      </c>
      <c r="AC372" s="23" t="str">
        <f t="shared" si="35"/>
        <v>E</v>
      </c>
      <c r="AD372" s="17">
        <v>0</v>
      </c>
      <c r="AE372" s="17">
        <v>0</v>
      </c>
      <c r="AF372" s="17">
        <v>0</v>
      </c>
      <c r="AG372" s="17">
        <v>0</v>
      </c>
      <c r="AH372" s="15" t="s">
        <v>42</v>
      </c>
    </row>
    <row r="373" spans="1:34">
      <c r="A373" s="13" t="str">
        <f t="shared" si="30"/>
        <v>OverStock</v>
      </c>
      <c r="B373" s="14" t="s">
        <v>220</v>
      </c>
      <c r="C373" s="15" t="s">
        <v>46</v>
      </c>
      <c r="D373" s="19">
        <f t="shared" si="31"/>
        <v>0</v>
      </c>
      <c r="E373" s="16">
        <f t="shared" si="32"/>
        <v>0</v>
      </c>
      <c r="F373" s="16">
        <f t="shared" si="33"/>
        <v>24</v>
      </c>
      <c r="G373" s="16">
        <f t="shared" si="34"/>
        <v>107.9</v>
      </c>
      <c r="H373" s="24" t="str">
        <f>IFERROR(VLOOKUP(B373,#REF!,8,FALSE),"")</f>
        <v/>
      </c>
      <c r="I373" s="17">
        <v>60000</v>
      </c>
      <c r="J373" s="17">
        <v>50000</v>
      </c>
      <c r="K373" s="24" t="str">
        <f>IFERROR(VLOOKUP(B373,#REF!,11,FALSE),"")</f>
        <v/>
      </c>
      <c r="L373" s="17">
        <v>0</v>
      </c>
      <c r="M373" s="6" t="s">
        <v>745</v>
      </c>
      <c r="N373" s="18" t="str">
        <f>IFERROR(VLOOKUP(B373,#REF!,13,FALSE),"")</f>
        <v/>
      </c>
      <c r="O373" s="19" t="str">
        <f>IFERROR(VLOOKUP(B373,#REF!,14,FALSE),"")</f>
        <v/>
      </c>
      <c r="P373" s="19" t="str">
        <f>IFERROR(VLOOKUP(B373,#REF!,15,FALSE),"")</f>
        <v/>
      </c>
      <c r="Q373" s="19"/>
      <c r="R373" s="25" t="str">
        <f>IFERROR(VLOOKUP(B373,#REF!,16,FALSE),"")</f>
        <v/>
      </c>
      <c r="S373" s="17">
        <v>0</v>
      </c>
      <c r="T373" s="17">
        <v>0</v>
      </c>
      <c r="U373" s="17">
        <v>0</v>
      </c>
      <c r="V373" s="17">
        <v>0</v>
      </c>
      <c r="W373" s="20">
        <v>60000</v>
      </c>
      <c r="X373" s="16">
        <v>24</v>
      </c>
      <c r="Y373" s="21">
        <v>107.9</v>
      </c>
      <c r="Z373" s="20">
        <v>2500</v>
      </c>
      <c r="AA373" s="17">
        <v>556</v>
      </c>
      <c r="AB373" s="22">
        <v>0.2</v>
      </c>
      <c r="AC373" s="23">
        <f t="shared" si="35"/>
        <v>50</v>
      </c>
      <c r="AD373" s="17">
        <v>0</v>
      </c>
      <c r="AE373" s="17">
        <v>5000</v>
      </c>
      <c r="AF373" s="17">
        <v>0</v>
      </c>
      <c r="AG373" s="17">
        <v>0</v>
      </c>
      <c r="AH373" s="15" t="s">
        <v>42</v>
      </c>
    </row>
    <row r="374" spans="1:34">
      <c r="A374" s="13" t="str">
        <f t="shared" si="30"/>
        <v>ZeroZero</v>
      </c>
      <c r="B374" s="14" t="s">
        <v>221</v>
      </c>
      <c r="C374" s="15" t="s">
        <v>46</v>
      </c>
      <c r="D374" s="19" t="str">
        <f t="shared" si="31"/>
        <v>前八週無拉料</v>
      </c>
      <c r="E374" s="16" t="str">
        <f t="shared" si="32"/>
        <v>--</v>
      </c>
      <c r="F374" s="16" t="str">
        <f t="shared" si="33"/>
        <v>--</v>
      </c>
      <c r="G374" s="16" t="str">
        <f t="shared" si="34"/>
        <v>--</v>
      </c>
      <c r="H374" s="24" t="str">
        <f>IFERROR(VLOOKUP(B374,#REF!,8,FALSE),"")</f>
        <v/>
      </c>
      <c r="I374" s="17">
        <v>20000</v>
      </c>
      <c r="J374" s="17">
        <v>10000</v>
      </c>
      <c r="K374" s="24" t="str">
        <f>IFERROR(VLOOKUP(B374,#REF!,11,FALSE),"")</f>
        <v/>
      </c>
      <c r="L374" s="17">
        <v>0</v>
      </c>
      <c r="M374" s="6" t="s">
        <v>745</v>
      </c>
      <c r="N374" s="18" t="str">
        <f>IFERROR(VLOOKUP(B374,#REF!,13,FALSE),"")</f>
        <v/>
      </c>
      <c r="O374" s="19" t="str">
        <f>IFERROR(VLOOKUP(B374,#REF!,14,FALSE),"")</f>
        <v/>
      </c>
      <c r="P374" s="19" t="str">
        <f>IFERROR(VLOOKUP(B374,#REF!,15,FALSE),"")</f>
        <v/>
      </c>
      <c r="Q374" s="19"/>
      <c r="R374" s="25" t="str">
        <f>IFERROR(VLOOKUP(B374,#REF!,16,FALSE),"")</f>
        <v/>
      </c>
      <c r="S374" s="17">
        <v>0</v>
      </c>
      <c r="T374" s="17">
        <v>0</v>
      </c>
      <c r="U374" s="17">
        <v>0</v>
      </c>
      <c r="V374" s="17">
        <v>0</v>
      </c>
      <c r="W374" s="20">
        <v>20000</v>
      </c>
      <c r="X374" s="16" t="s">
        <v>40</v>
      </c>
      <c r="Y374" s="21" t="s">
        <v>40</v>
      </c>
      <c r="Z374" s="20">
        <v>0</v>
      </c>
      <c r="AA374" s="17">
        <v>0</v>
      </c>
      <c r="AB374" s="22" t="s">
        <v>41</v>
      </c>
      <c r="AC374" s="23" t="str">
        <f t="shared" si="35"/>
        <v>E</v>
      </c>
      <c r="AD374" s="17">
        <v>783</v>
      </c>
      <c r="AE374" s="17">
        <v>0</v>
      </c>
      <c r="AF374" s="17">
        <v>0</v>
      </c>
      <c r="AG374" s="17">
        <v>4217</v>
      </c>
      <c r="AH374" s="15" t="s">
        <v>42</v>
      </c>
    </row>
    <row r="375" spans="1:34">
      <c r="A375" s="13" t="str">
        <f t="shared" si="30"/>
        <v>OverStock</v>
      </c>
      <c r="B375" s="14" t="s">
        <v>222</v>
      </c>
      <c r="C375" s="15" t="s">
        <v>46</v>
      </c>
      <c r="D375" s="19">
        <f t="shared" si="31"/>
        <v>14</v>
      </c>
      <c r="E375" s="16" t="str">
        <f t="shared" si="32"/>
        <v>--</v>
      </c>
      <c r="F375" s="16">
        <f t="shared" si="33"/>
        <v>5</v>
      </c>
      <c r="G375" s="16" t="str">
        <f t="shared" si="34"/>
        <v>--</v>
      </c>
      <c r="H375" s="24" t="str">
        <f>IFERROR(VLOOKUP(B375,#REF!,8,FALSE),"")</f>
        <v/>
      </c>
      <c r="I375" s="17">
        <v>50000</v>
      </c>
      <c r="J375" s="17">
        <v>0</v>
      </c>
      <c r="K375" s="24" t="str">
        <f>IFERROR(VLOOKUP(B375,#REF!,11,FALSE),"")</f>
        <v/>
      </c>
      <c r="L375" s="17">
        <v>140000</v>
      </c>
      <c r="M375" s="6" t="s">
        <v>745</v>
      </c>
      <c r="N375" s="18" t="str">
        <f>IFERROR(VLOOKUP(B375,#REF!,13,FALSE),"")</f>
        <v/>
      </c>
      <c r="O375" s="19" t="str">
        <f>IFERROR(VLOOKUP(B375,#REF!,14,FALSE),"")</f>
        <v/>
      </c>
      <c r="P375" s="19" t="str">
        <f>IFERROR(VLOOKUP(B375,#REF!,15,FALSE),"")</f>
        <v/>
      </c>
      <c r="Q375" s="19"/>
      <c r="R375" s="25" t="str">
        <f>IFERROR(VLOOKUP(B375,#REF!,16,FALSE),"")</f>
        <v/>
      </c>
      <c r="S375" s="17">
        <v>0</v>
      </c>
      <c r="T375" s="17">
        <v>140000</v>
      </c>
      <c r="U375" s="17">
        <v>0</v>
      </c>
      <c r="V375" s="17">
        <v>0</v>
      </c>
      <c r="W375" s="20">
        <v>190000</v>
      </c>
      <c r="X375" s="16">
        <v>19</v>
      </c>
      <c r="Y375" s="21" t="s">
        <v>40</v>
      </c>
      <c r="Z375" s="20">
        <v>10000</v>
      </c>
      <c r="AA375" s="17" t="s">
        <v>40</v>
      </c>
      <c r="AB375" s="22" t="s">
        <v>41</v>
      </c>
      <c r="AC375" s="23" t="str">
        <f t="shared" si="35"/>
        <v>E</v>
      </c>
      <c r="AD375" s="17">
        <v>0</v>
      </c>
      <c r="AE375" s="17">
        <v>0</v>
      </c>
      <c r="AF375" s="17">
        <v>0</v>
      </c>
      <c r="AG375" s="17">
        <v>0</v>
      </c>
      <c r="AH375" s="15" t="s">
        <v>42</v>
      </c>
    </row>
    <row r="376" spans="1:34">
      <c r="A376" s="13" t="str">
        <f t="shared" si="30"/>
        <v>Normal</v>
      </c>
      <c r="B376" s="14" t="s">
        <v>223</v>
      </c>
      <c r="C376" s="15" t="s">
        <v>46</v>
      </c>
      <c r="D376" s="19">
        <f t="shared" si="31"/>
        <v>8</v>
      </c>
      <c r="E376" s="16">
        <f t="shared" si="32"/>
        <v>18</v>
      </c>
      <c r="F376" s="16">
        <f t="shared" si="33"/>
        <v>0</v>
      </c>
      <c r="G376" s="16">
        <f t="shared" si="34"/>
        <v>0</v>
      </c>
      <c r="H376" s="24" t="str">
        <f>IFERROR(VLOOKUP(B376,#REF!,8,FALSE),"")</f>
        <v/>
      </c>
      <c r="I376" s="17">
        <v>0</v>
      </c>
      <c r="J376" s="17">
        <v>0</v>
      </c>
      <c r="K376" s="24" t="str">
        <f>IFERROR(VLOOKUP(B376,#REF!,11,FALSE),"")</f>
        <v/>
      </c>
      <c r="L376" s="17">
        <v>10000</v>
      </c>
      <c r="M376" s="6" t="s">
        <v>745</v>
      </c>
      <c r="N376" s="18" t="str">
        <f>IFERROR(VLOOKUP(B376,#REF!,13,FALSE),"")</f>
        <v/>
      </c>
      <c r="O376" s="19" t="str">
        <f>IFERROR(VLOOKUP(B376,#REF!,14,FALSE),"")</f>
        <v/>
      </c>
      <c r="P376" s="19" t="str">
        <f>IFERROR(VLOOKUP(B376,#REF!,15,FALSE),"")</f>
        <v/>
      </c>
      <c r="Q376" s="19"/>
      <c r="R376" s="25" t="str">
        <f>IFERROR(VLOOKUP(B376,#REF!,16,FALSE),"")</f>
        <v/>
      </c>
      <c r="S376" s="17">
        <v>0</v>
      </c>
      <c r="T376" s="17">
        <v>10000</v>
      </c>
      <c r="U376" s="17">
        <v>0</v>
      </c>
      <c r="V376" s="17">
        <v>0</v>
      </c>
      <c r="W376" s="20">
        <v>10000</v>
      </c>
      <c r="X376" s="16">
        <v>8</v>
      </c>
      <c r="Y376" s="21">
        <v>18</v>
      </c>
      <c r="Z376" s="20">
        <v>1250</v>
      </c>
      <c r="AA376" s="17">
        <v>556</v>
      </c>
      <c r="AB376" s="22">
        <v>0.4</v>
      </c>
      <c r="AC376" s="23">
        <f t="shared" si="35"/>
        <v>50</v>
      </c>
      <c r="AD376" s="17">
        <v>0</v>
      </c>
      <c r="AE376" s="17">
        <v>5000</v>
      </c>
      <c r="AF376" s="17">
        <v>0</v>
      </c>
      <c r="AG376" s="17">
        <v>0</v>
      </c>
      <c r="AH376" s="15" t="s">
        <v>42</v>
      </c>
    </row>
    <row r="377" spans="1:34">
      <c r="A377" s="13" t="str">
        <f t="shared" si="30"/>
        <v>OverStock</v>
      </c>
      <c r="B377" s="14" t="s">
        <v>224</v>
      </c>
      <c r="C377" s="15" t="s">
        <v>46</v>
      </c>
      <c r="D377" s="19">
        <f t="shared" si="31"/>
        <v>8</v>
      </c>
      <c r="E377" s="16">
        <f t="shared" si="32"/>
        <v>6</v>
      </c>
      <c r="F377" s="16">
        <f t="shared" si="33"/>
        <v>32</v>
      </c>
      <c r="G377" s="16">
        <f t="shared" si="34"/>
        <v>24</v>
      </c>
      <c r="H377" s="24" t="str">
        <f>IFERROR(VLOOKUP(B377,#REF!,8,FALSE),"")</f>
        <v/>
      </c>
      <c r="I377" s="17">
        <v>40000</v>
      </c>
      <c r="J377" s="17">
        <v>20000</v>
      </c>
      <c r="K377" s="24" t="str">
        <f>IFERROR(VLOOKUP(B377,#REF!,11,FALSE),"")</f>
        <v/>
      </c>
      <c r="L377" s="17">
        <v>10000</v>
      </c>
      <c r="M377" s="6" t="s">
        <v>745</v>
      </c>
      <c r="N377" s="18" t="str">
        <f>IFERROR(VLOOKUP(B377,#REF!,13,FALSE),"")</f>
        <v/>
      </c>
      <c r="O377" s="19" t="str">
        <f>IFERROR(VLOOKUP(B377,#REF!,14,FALSE),"")</f>
        <v/>
      </c>
      <c r="P377" s="19" t="str">
        <f>IFERROR(VLOOKUP(B377,#REF!,15,FALSE),"")</f>
        <v/>
      </c>
      <c r="Q377" s="19"/>
      <c r="R377" s="25" t="str">
        <f>IFERROR(VLOOKUP(B377,#REF!,16,FALSE),"")</f>
        <v/>
      </c>
      <c r="S377" s="17">
        <v>0</v>
      </c>
      <c r="T377" s="17">
        <v>10000</v>
      </c>
      <c r="U377" s="17">
        <v>0</v>
      </c>
      <c r="V377" s="17">
        <v>0</v>
      </c>
      <c r="W377" s="20">
        <v>50000</v>
      </c>
      <c r="X377" s="16">
        <v>40</v>
      </c>
      <c r="Y377" s="21">
        <v>30</v>
      </c>
      <c r="Z377" s="20">
        <v>1250</v>
      </c>
      <c r="AA377" s="17">
        <v>1667</v>
      </c>
      <c r="AB377" s="22">
        <v>1.3</v>
      </c>
      <c r="AC377" s="23">
        <f t="shared" si="35"/>
        <v>100</v>
      </c>
      <c r="AD377" s="17">
        <v>0</v>
      </c>
      <c r="AE377" s="17">
        <v>10000</v>
      </c>
      <c r="AF377" s="17">
        <v>5000</v>
      </c>
      <c r="AG377" s="17">
        <v>5000</v>
      </c>
      <c r="AH377" s="15" t="s">
        <v>42</v>
      </c>
    </row>
    <row r="378" spans="1:34">
      <c r="A378" s="13" t="str">
        <f t="shared" si="30"/>
        <v>Normal</v>
      </c>
      <c r="B378" s="14" t="s">
        <v>225</v>
      </c>
      <c r="C378" s="15" t="s">
        <v>46</v>
      </c>
      <c r="D378" s="19">
        <f t="shared" si="31"/>
        <v>0</v>
      </c>
      <c r="E378" s="16">
        <f t="shared" si="32"/>
        <v>0</v>
      </c>
      <c r="F378" s="16">
        <f t="shared" si="33"/>
        <v>16</v>
      </c>
      <c r="G378" s="16">
        <f t="shared" si="34"/>
        <v>26.5</v>
      </c>
      <c r="H378" s="24" t="str">
        <f>IFERROR(VLOOKUP(B378,#REF!,8,FALSE),"")</f>
        <v/>
      </c>
      <c r="I378" s="17">
        <v>40000</v>
      </c>
      <c r="J378" s="17">
        <v>20000</v>
      </c>
      <c r="K378" s="24" t="str">
        <f>IFERROR(VLOOKUP(B378,#REF!,11,FALSE),"")</f>
        <v/>
      </c>
      <c r="L378" s="17">
        <v>0</v>
      </c>
      <c r="M378" s="6" t="s">
        <v>745</v>
      </c>
      <c r="N378" s="18" t="str">
        <f>IFERROR(VLOOKUP(B378,#REF!,13,FALSE),"")</f>
        <v/>
      </c>
      <c r="O378" s="19" t="str">
        <f>IFERROR(VLOOKUP(B378,#REF!,14,FALSE),"")</f>
        <v/>
      </c>
      <c r="P378" s="19" t="str">
        <f>IFERROR(VLOOKUP(B378,#REF!,15,FALSE),"")</f>
        <v/>
      </c>
      <c r="Q378" s="19"/>
      <c r="R378" s="25" t="str">
        <f>IFERROR(VLOOKUP(B378,#REF!,16,FALSE),"")</f>
        <v/>
      </c>
      <c r="S378" s="17">
        <v>0</v>
      </c>
      <c r="T378" s="17">
        <v>0</v>
      </c>
      <c r="U378" s="17">
        <v>0</v>
      </c>
      <c r="V378" s="17">
        <v>0</v>
      </c>
      <c r="W378" s="20">
        <v>40000</v>
      </c>
      <c r="X378" s="16">
        <v>16</v>
      </c>
      <c r="Y378" s="21">
        <v>26.5</v>
      </c>
      <c r="Z378" s="20">
        <v>2500</v>
      </c>
      <c r="AA378" s="17">
        <v>1509</v>
      </c>
      <c r="AB378" s="22">
        <v>0.6</v>
      </c>
      <c r="AC378" s="23">
        <f t="shared" si="35"/>
        <v>100</v>
      </c>
      <c r="AD378" s="17">
        <v>5000</v>
      </c>
      <c r="AE378" s="17">
        <v>8586</v>
      </c>
      <c r="AF378" s="17">
        <v>0</v>
      </c>
      <c r="AG378" s="17">
        <v>0</v>
      </c>
      <c r="AH378" s="15" t="s">
        <v>42</v>
      </c>
    </row>
    <row r="379" spans="1:34">
      <c r="A379" s="13" t="str">
        <f t="shared" si="30"/>
        <v>OverStock</v>
      </c>
      <c r="B379" s="14" t="s">
        <v>226</v>
      </c>
      <c r="C379" s="15" t="s">
        <v>46</v>
      </c>
      <c r="D379" s="19">
        <f t="shared" si="31"/>
        <v>4</v>
      </c>
      <c r="E379" s="16">
        <f t="shared" si="32"/>
        <v>1.2</v>
      </c>
      <c r="F379" s="16">
        <f t="shared" si="33"/>
        <v>48</v>
      </c>
      <c r="G379" s="16">
        <f t="shared" si="34"/>
        <v>14.7</v>
      </c>
      <c r="H379" s="24" t="str">
        <f>IFERROR(VLOOKUP(B379,#REF!,8,FALSE),"")</f>
        <v/>
      </c>
      <c r="I379" s="17">
        <v>180000</v>
      </c>
      <c r="J379" s="17">
        <v>80000</v>
      </c>
      <c r="K379" s="24" t="str">
        <f>IFERROR(VLOOKUP(B379,#REF!,11,FALSE),"")</f>
        <v/>
      </c>
      <c r="L379" s="17">
        <v>15000</v>
      </c>
      <c r="M379" s="6" t="s">
        <v>745</v>
      </c>
      <c r="N379" s="18" t="str">
        <f>IFERROR(VLOOKUP(B379,#REF!,13,FALSE),"")</f>
        <v/>
      </c>
      <c r="O379" s="19" t="str">
        <f>IFERROR(VLOOKUP(B379,#REF!,14,FALSE),"")</f>
        <v/>
      </c>
      <c r="P379" s="19" t="str">
        <f>IFERROR(VLOOKUP(B379,#REF!,15,FALSE),"")</f>
        <v/>
      </c>
      <c r="Q379" s="19"/>
      <c r="R379" s="25" t="str">
        <f>IFERROR(VLOOKUP(B379,#REF!,16,FALSE),"")</f>
        <v/>
      </c>
      <c r="S379" s="17">
        <v>0</v>
      </c>
      <c r="T379" s="17">
        <v>15000</v>
      </c>
      <c r="U379" s="17">
        <v>0</v>
      </c>
      <c r="V379" s="17">
        <v>0</v>
      </c>
      <c r="W379" s="20">
        <v>195000</v>
      </c>
      <c r="X379" s="16">
        <v>52</v>
      </c>
      <c r="Y379" s="21">
        <v>16</v>
      </c>
      <c r="Z379" s="20">
        <v>3750</v>
      </c>
      <c r="AA379" s="17">
        <v>12222</v>
      </c>
      <c r="AB379" s="22">
        <v>3.3</v>
      </c>
      <c r="AC379" s="23">
        <f t="shared" si="35"/>
        <v>150</v>
      </c>
      <c r="AD379" s="17">
        <v>400</v>
      </c>
      <c r="AE379" s="17">
        <v>80000</v>
      </c>
      <c r="AF379" s="17">
        <v>30000</v>
      </c>
      <c r="AG379" s="17">
        <v>5000</v>
      </c>
      <c r="AH379" s="15" t="s">
        <v>42</v>
      </c>
    </row>
    <row r="380" spans="1:34">
      <c r="A380" s="13" t="str">
        <f t="shared" si="30"/>
        <v>OverStock</v>
      </c>
      <c r="B380" s="14" t="s">
        <v>227</v>
      </c>
      <c r="C380" s="15" t="s">
        <v>46</v>
      </c>
      <c r="D380" s="19">
        <f t="shared" si="31"/>
        <v>6</v>
      </c>
      <c r="E380" s="16">
        <f t="shared" si="32"/>
        <v>9</v>
      </c>
      <c r="F380" s="16">
        <f t="shared" si="33"/>
        <v>18</v>
      </c>
      <c r="G380" s="16">
        <f t="shared" si="34"/>
        <v>27</v>
      </c>
      <c r="H380" s="24" t="str">
        <f>IFERROR(VLOOKUP(B380,#REF!,8,FALSE),"")</f>
        <v/>
      </c>
      <c r="I380" s="17">
        <v>45000</v>
      </c>
      <c r="J380" s="17">
        <v>10000</v>
      </c>
      <c r="K380" s="24" t="str">
        <f>IFERROR(VLOOKUP(B380,#REF!,11,FALSE),"")</f>
        <v/>
      </c>
      <c r="L380" s="17">
        <v>15000</v>
      </c>
      <c r="M380" s="6" t="s">
        <v>745</v>
      </c>
      <c r="N380" s="18" t="str">
        <f>IFERROR(VLOOKUP(B380,#REF!,13,FALSE),"")</f>
        <v/>
      </c>
      <c r="O380" s="19" t="str">
        <f>IFERROR(VLOOKUP(B380,#REF!,14,FALSE),"")</f>
        <v/>
      </c>
      <c r="P380" s="19" t="str">
        <f>IFERROR(VLOOKUP(B380,#REF!,15,FALSE),"")</f>
        <v/>
      </c>
      <c r="Q380" s="19"/>
      <c r="R380" s="25" t="str">
        <f>IFERROR(VLOOKUP(B380,#REF!,16,FALSE),"")</f>
        <v/>
      </c>
      <c r="S380" s="17">
        <v>0</v>
      </c>
      <c r="T380" s="17">
        <v>15000</v>
      </c>
      <c r="U380" s="17">
        <v>0</v>
      </c>
      <c r="V380" s="17">
        <v>0</v>
      </c>
      <c r="W380" s="20">
        <v>60000</v>
      </c>
      <c r="X380" s="16">
        <v>24</v>
      </c>
      <c r="Y380" s="21">
        <v>36</v>
      </c>
      <c r="Z380" s="20">
        <v>2500</v>
      </c>
      <c r="AA380" s="17">
        <v>1667</v>
      </c>
      <c r="AB380" s="22">
        <v>0.7</v>
      </c>
      <c r="AC380" s="23">
        <f t="shared" si="35"/>
        <v>100</v>
      </c>
      <c r="AD380" s="17">
        <v>0</v>
      </c>
      <c r="AE380" s="17">
        <v>10000</v>
      </c>
      <c r="AF380" s="17">
        <v>10000</v>
      </c>
      <c r="AG380" s="17">
        <v>10000</v>
      </c>
      <c r="AH380" s="15" t="s">
        <v>42</v>
      </c>
    </row>
    <row r="381" spans="1:34">
      <c r="A381" s="13" t="str">
        <f t="shared" si="30"/>
        <v>OverStock</v>
      </c>
      <c r="B381" s="14" t="s">
        <v>228</v>
      </c>
      <c r="C381" s="15" t="s">
        <v>46</v>
      </c>
      <c r="D381" s="19">
        <f t="shared" si="31"/>
        <v>1.6</v>
      </c>
      <c r="E381" s="16" t="str">
        <f t="shared" si="32"/>
        <v>--</v>
      </c>
      <c r="F381" s="16">
        <f t="shared" si="33"/>
        <v>16</v>
      </c>
      <c r="G381" s="16" t="str">
        <f t="shared" si="34"/>
        <v>--</v>
      </c>
      <c r="H381" s="24" t="str">
        <f>IFERROR(VLOOKUP(B381,#REF!,8,FALSE),"")</f>
        <v/>
      </c>
      <c r="I381" s="17">
        <v>50000</v>
      </c>
      <c r="J381" s="17">
        <v>20000</v>
      </c>
      <c r="K381" s="24" t="str">
        <f>IFERROR(VLOOKUP(B381,#REF!,11,FALSE),"")</f>
        <v/>
      </c>
      <c r="L381" s="17">
        <v>5000</v>
      </c>
      <c r="M381" s="6" t="s">
        <v>745</v>
      </c>
      <c r="N381" s="18" t="str">
        <f>IFERROR(VLOOKUP(B381,#REF!,13,FALSE),"")</f>
        <v/>
      </c>
      <c r="O381" s="19" t="str">
        <f>IFERROR(VLOOKUP(B381,#REF!,14,FALSE),"")</f>
        <v/>
      </c>
      <c r="P381" s="19" t="str">
        <f>IFERROR(VLOOKUP(B381,#REF!,15,FALSE),"")</f>
        <v/>
      </c>
      <c r="Q381" s="19"/>
      <c r="R381" s="25" t="str">
        <f>IFERROR(VLOOKUP(B381,#REF!,16,FALSE),"")</f>
        <v/>
      </c>
      <c r="S381" s="17">
        <v>0</v>
      </c>
      <c r="T381" s="17">
        <v>5000</v>
      </c>
      <c r="U381" s="17">
        <v>0</v>
      </c>
      <c r="V381" s="17">
        <v>0</v>
      </c>
      <c r="W381" s="20">
        <v>55000</v>
      </c>
      <c r="X381" s="16">
        <v>17.600000000000001</v>
      </c>
      <c r="Y381" s="21" t="s">
        <v>40</v>
      </c>
      <c r="Z381" s="20">
        <v>3125</v>
      </c>
      <c r="AA381" s="17" t="s">
        <v>40</v>
      </c>
      <c r="AB381" s="22" t="s">
        <v>41</v>
      </c>
      <c r="AC381" s="23" t="str">
        <f t="shared" si="35"/>
        <v>E</v>
      </c>
      <c r="AD381" s="17">
        <v>0</v>
      </c>
      <c r="AE381" s="17">
        <v>0</v>
      </c>
      <c r="AF381" s="17">
        <v>0</v>
      </c>
      <c r="AG381" s="17">
        <v>0</v>
      </c>
      <c r="AH381" s="15" t="s">
        <v>42</v>
      </c>
    </row>
    <row r="382" spans="1:34">
      <c r="A382" s="13" t="str">
        <f t="shared" si="30"/>
        <v>Normal</v>
      </c>
      <c r="B382" s="14" t="s">
        <v>229</v>
      </c>
      <c r="C382" s="15" t="s">
        <v>46</v>
      </c>
      <c r="D382" s="19">
        <f t="shared" si="31"/>
        <v>0</v>
      </c>
      <c r="E382" s="16" t="str">
        <f t="shared" si="32"/>
        <v>--</v>
      </c>
      <c r="F382" s="16">
        <f t="shared" si="33"/>
        <v>0</v>
      </c>
      <c r="G382" s="16" t="str">
        <f t="shared" si="34"/>
        <v>--</v>
      </c>
      <c r="H382" s="24" t="str">
        <f>IFERROR(VLOOKUP(B382,#REF!,8,FALSE),"")</f>
        <v/>
      </c>
      <c r="I382" s="17">
        <v>0</v>
      </c>
      <c r="J382" s="17">
        <v>0</v>
      </c>
      <c r="K382" s="24" t="str">
        <f>IFERROR(VLOOKUP(B382,#REF!,11,FALSE),"")</f>
        <v/>
      </c>
      <c r="L382" s="17">
        <v>0</v>
      </c>
      <c r="M382" s="6" t="s">
        <v>745</v>
      </c>
      <c r="N382" s="18" t="str">
        <f>IFERROR(VLOOKUP(B382,#REF!,13,FALSE),"")</f>
        <v/>
      </c>
      <c r="O382" s="19" t="str">
        <f>IFERROR(VLOOKUP(B382,#REF!,14,FALSE),"")</f>
        <v/>
      </c>
      <c r="P382" s="19" t="str">
        <f>IFERROR(VLOOKUP(B382,#REF!,15,FALSE),"")</f>
        <v/>
      </c>
      <c r="Q382" s="19"/>
      <c r="R382" s="25" t="str">
        <f>IFERROR(VLOOKUP(B382,#REF!,16,FALSE),"")</f>
        <v/>
      </c>
      <c r="S382" s="17">
        <v>0</v>
      </c>
      <c r="T382" s="17">
        <v>0</v>
      </c>
      <c r="U382" s="17">
        <v>0</v>
      </c>
      <c r="V382" s="17">
        <v>0</v>
      </c>
      <c r="W382" s="20">
        <v>0</v>
      </c>
      <c r="X382" s="16">
        <v>0</v>
      </c>
      <c r="Y382" s="21" t="s">
        <v>40</v>
      </c>
      <c r="Z382" s="20">
        <v>625</v>
      </c>
      <c r="AA382" s="17" t="s">
        <v>40</v>
      </c>
      <c r="AB382" s="22" t="s">
        <v>41</v>
      </c>
      <c r="AC382" s="23" t="str">
        <f t="shared" si="35"/>
        <v>E</v>
      </c>
      <c r="AD382" s="17">
        <v>0</v>
      </c>
      <c r="AE382" s="17">
        <v>0</v>
      </c>
      <c r="AF382" s="17">
        <v>0</v>
      </c>
      <c r="AG382" s="17">
        <v>0</v>
      </c>
      <c r="AH382" s="15" t="s">
        <v>42</v>
      </c>
    </row>
    <row r="383" spans="1:34">
      <c r="A383" s="13" t="str">
        <f t="shared" si="30"/>
        <v>OverStock</v>
      </c>
      <c r="B383" s="14" t="s">
        <v>231</v>
      </c>
      <c r="C383" s="15" t="s">
        <v>46</v>
      </c>
      <c r="D383" s="19">
        <f t="shared" si="31"/>
        <v>0.5</v>
      </c>
      <c r="E383" s="16" t="str">
        <f t="shared" si="32"/>
        <v>--</v>
      </c>
      <c r="F383" s="16">
        <f t="shared" si="33"/>
        <v>33.6</v>
      </c>
      <c r="G383" s="16" t="str">
        <f t="shared" si="34"/>
        <v>--</v>
      </c>
      <c r="H383" s="24" t="str">
        <f>IFERROR(VLOOKUP(B383,#REF!,8,FALSE),"")</f>
        <v/>
      </c>
      <c r="I383" s="17">
        <v>20000</v>
      </c>
      <c r="J383" s="17">
        <v>20000</v>
      </c>
      <c r="K383" s="24" t="str">
        <f>IFERROR(VLOOKUP(B383,#REF!,11,FALSE),"")</f>
        <v/>
      </c>
      <c r="L383" s="17">
        <v>300</v>
      </c>
      <c r="M383" s="6" t="s">
        <v>745</v>
      </c>
      <c r="N383" s="18" t="str">
        <f>IFERROR(VLOOKUP(B383,#REF!,13,FALSE),"")</f>
        <v/>
      </c>
      <c r="O383" s="19" t="str">
        <f>IFERROR(VLOOKUP(B383,#REF!,14,FALSE),"")</f>
        <v/>
      </c>
      <c r="P383" s="19" t="str">
        <f>IFERROR(VLOOKUP(B383,#REF!,15,FALSE),"")</f>
        <v/>
      </c>
      <c r="Q383" s="19"/>
      <c r="R383" s="25" t="str">
        <f>IFERROR(VLOOKUP(B383,#REF!,16,FALSE),"")</f>
        <v/>
      </c>
      <c r="S383" s="17">
        <v>0</v>
      </c>
      <c r="T383" s="17">
        <v>300</v>
      </c>
      <c r="U383" s="17">
        <v>0</v>
      </c>
      <c r="V383" s="17">
        <v>0</v>
      </c>
      <c r="W383" s="20">
        <v>20300</v>
      </c>
      <c r="X383" s="16">
        <v>34.1</v>
      </c>
      <c r="Y383" s="21" t="s">
        <v>40</v>
      </c>
      <c r="Z383" s="20">
        <v>595</v>
      </c>
      <c r="AA383" s="17">
        <v>0</v>
      </c>
      <c r="AB383" s="22" t="s">
        <v>41</v>
      </c>
      <c r="AC383" s="23" t="str">
        <f t="shared" si="35"/>
        <v>E</v>
      </c>
      <c r="AD383" s="17">
        <v>0</v>
      </c>
      <c r="AE383" s="17">
        <v>0</v>
      </c>
      <c r="AF383" s="17">
        <v>0</v>
      </c>
      <c r="AG383" s="17">
        <v>0</v>
      </c>
      <c r="AH383" s="15" t="s">
        <v>42</v>
      </c>
    </row>
    <row r="384" spans="1:34">
      <c r="A384" s="13" t="str">
        <f t="shared" si="30"/>
        <v>ZeroZero</v>
      </c>
      <c r="B384" s="14" t="s">
        <v>232</v>
      </c>
      <c r="C384" s="15" t="s">
        <v>46</v>
      </c>
      <c r="D384" s="19" t="str">
        <f t="shared" si="31"/>
        <v>前八週無拉料</v>
      </c>
      <c r="E384" s="16" t="str">
        <f t="shared" si="32"/>
        <v>--</v>
      </c>
      <c r="F384" s="16" t="str">
        <f t="shared" si="33"/>
        <v>--</v>
      </c>
      <c r="G384" s="16" t="str">
        <f t="shared" si="34"/>
        <v>--</v>
      </c>
      <c r="H384" s="24" t="str">
        <f>IFERROR(VLOOKUP(B384,#REF!,8,FALSE),"")</f>
        <v/>
      </c>
      <c r="I384" s="17">
        <v>5000</v>
      </c>
      <c r="J384" s="17">
        <v>5000</v>
      </c>
      <c r="K384" s="24" t="str">
        <f>IFERROR(VLOOKUP(B384,#REF!,11,FALSE),"")</f>
        <v/>
      </c>
      <c r="L384" s="17">
        <v>0</v>
      </c>
      <c r="M384" s="6" t="s">
        <v>745</v>
      </c>
      <c r="N384" s="18" t="str">
        <f>IFERROR(VLOOKUP(B384,#REF!,13,FALSE),"")</f>
        <v/>
      </c>
      <c r="O384" s="19" t="str">
        <f>IFERROR(VLOOKUP(B384,#REF!,14,FALSE),"")</f>
        <v/>
      </c>
      <c r="P384" s="19" t="str">
        <f>IFERROR(VLOOKUP(B384,#REF!,15,FALSE),"")</f>
        <v/>
      </c>
      <c r="Q384" s="19"/>
      <c r="R384" s="25" t="str">
        <f>IFERROR(VLOOKUP(B384,#REF!,16,FALSE),"")</f>
        <v/>
      </c>
      <c r="S384" s="17">
        <v>0</v>
      </c>
      <c r="T384" s="17">
        <v>0</v>
      </c>
      <c r="U384" s="17">
        <v>0</v>
      </c>
      <c r="V384" s="17">
        <v>0</v>
      </c>
      <c r="W384" s="20">
        <v>5000</v>
      </c>
      <c r="X384" s="16" t="s">
        <v>40</v>
      </c>
      <c r="Y384" s="21" t="s">
        <v>40</v>
      </c>
      <c r="Z384" s="20">
        <v>0</v>
      </c>
      <c r="AA384" s="17" t="s">
        <v>40</v>
      </c>
      <c r="AB384" s="22" t="s">
        <v>41</v>
      </c>
      <c r="AC384" s="23" t="str">
        <f t="shared" si="35"/>
        <v>E</v>
      </c>
      <c r="AD384" s="17">
        <v>0</v>
      </c>
      <c r="AE384" s="17">
        <v>0</v>
      </c>
      <c r="AF384" s="17">
        <v>0</v>
      </c>
      <c r="AG384" s="17">
        <v>0</v>
      </c>
      <c r="AH384" s="15" t="s">
        <v>42</v>
      </c>
    </row>
    <row r="385" spans="1:34">
      <c r="A385" s="13" t="str">
        <f t="shared" si="30"/>
        <v>OverStock</v>
      </c>
      <c r="B385" s="14" t="s">
        <v>239</v>
      </c>
      <c r="C385" s="15" t="s">
        <v>46</v>
      </c>
      <c r="D385" s="19">
        <f t="shared" si="31"/>
        <v>4.0999999999999996</v>
      </c>
      <c r="E385" s="16">
        <f t="shared" si="32"/>
        <v>3.5</v>
      </c>
      <c r="F385" s="16">
        <f t="shared" si="33"/>
        <v>19.3</v>
      </c>
      <c r="G385" s="16">
        <f t="shared" si="34"/>
        <v>16.3</v>
      </c>
      <c r="H385" s="24" t="str">
        <f>IFERROR(VLOOKUP(B385,#REF!,8,FALSE),"")</f>
        <v/>
      </c>
      <c r="I385" s="17">
        <v>795000</v>
      </c>
      <c r="J385" s="17">
        <v>795000</v>
      </c>
      <c r="K385" s="24" t="str">
        <f>IFERROR(VLOOKUP(B385,#REF!,11,FALSE),"")</f>
        <v/>
      </c>
      <c r="L385" s="17">
        <v>170000</v>
      </c>
      <c r="M385" s="6" t="s">
        <v>745</v>
      </c>
      <c r="N385" s="18" t="str">
        <f>IFERROR(VLOOKUP(B385,#REF!,13,FALSE),"")</f>
        <v/>
      </c>
      <c r="O385" s="19" t="str">
        <f>IFERROR(VLOOKUP(B385,#REF!,14,FALSE),"")</f>
        <v/>
      </c>
      <c r="P385" s="19" t="str">
        <f>IFERROR(VLOOKUP(B385,#REF!,15,FALSE),"")</f>
        <v/>
      </c>
      <c r="Q385" s="19"/>
      <c r="R385" s="25" t="str">
        <f>IFERROR(VLOOKUP(B385,#REF!,16,FALSE),"")</f>
        <v/>
      </c>
      <c r="S385" s="17">
        <v>0</v>
      </c>
      <c r="T385" s="17">
        <v>170000</v>
      </c>
      <c r="U385" s="17">
        <v>0</v>
      </c>
      <c r="V385" s="17">
        <v>0</v>
      </c>
      <c r="W385" s="20">
        <v>965000</v>
      </c>
      <c r="X385" s="16">
        <v>23.4</v>
      </c>
      <c r="Y385" s="21">
        <v>19.7</v>
      </c>
      <c r="Z385" s="20">
        <v>41250</v>
      </c>
      <c r="AA385" s="17">
        <v>48888</v>
      </c>
      <c r="AB385" s="22">
        <v>1.2</v>
      </c>
      <c r="AC385" s="23">
        <f t="shared" si="35"/>
        <v>100</v>
      </c>
      <c r="AD385" s="17">
        <v>35000</v>
      </c>
      <c r="AE385" s="17">
        <v>215000</v>
      </c>
      <c r="AF385" s="17">
        <v>205000</v>
      </c>
      <c r="AG385" s="17">
        <v>95000</v>
      </c>
      <c r="AH385" s="15" t="s">
        <v>42</v>
      </c>
    </row>
    <row r="386" spans="1:34">
      <c r="A386" s="13" t="str">
        <f t="shared" si="30"/>
        <v>OverStock</v>
      </c>
      <c r="B386" s="14" t="s">
        <v>240</v>
      </c>
      <c r="C386" s="15" t="s">
        <v>46</v>
      </c>
      <c r="D386" s="19">
        <f t="shared" si="31"/>
        <v>36</v>
      </c>
      <c r="E386" s="16">
        <f t="shared" si="32"/>
        <v>48.6</v>
      </c>
      <c r="F386" s="16">
        <f t="shared" si="33"/>
        <v>0</v>
      </c>
      <c r="G386" s="16">
        <f t="shared" si="34"/>
        <v>0</v>
      </c>
      <c r="H386" s="24" t="str">
        <f>IFERROR(VLOOKUP(B386,#REF!,8,FALSE),"")</f>
        <v/>
      </c>
      <c r="I386" s="17">
        <v>0</v>
      </c>
      <c r="J386" s="17">
        <v>0</v>
      </c>
      <c r="K386" s="24" t="str">
        <f>IFERROR(VLOOKUP(B386,#REF!,11,FALSE),"")</f>
        <v/>
      </c>
      <c r="L386" s="17">
        <v>135000</v>
      </c>
      <c r="M386" s="6" t="s">
        <v>745</v>
      </c>
      <c r="N386" s="18" t="str">
        <f>IFERROR(VLOOKUP(B386,#REF!,13,FALSE),"")</f>
        <v/>
      </c>
      <c r="O386" s="19" t="str">
        <f>IFERROR(VLOOKUP(B386,#REF!,14,FALSE),"")</f>
        <v/>
      </c>
      <c r="P386" s="19" t="str">
        <f>IFERROR(VLOOKUP(B386,#REF!,15,FALSE),"")</f>
        <v/>
      </c>
      <c r="Q386" s="19"/>
      <c r="R386" s="25" t="str">
        <f>IFERROR(VLOOKUP(B386,#REF!,16,FALSE),"")</f>
        <v/>
      </c>
      <c r="S386" s="17">
        <v>0</v>
      </c>
      <c r="T386" s="17">
        <v>135000</v>
      </c>
      <c r="U386" s="17">
        <v>0</v>
      </c>
      <c r="V386" s="17">
        <v>0</v>
      </c>
      <c r="W386" s="20">
        <v>135000</v>
      </c>
      <c r="X386" s="16">
        <v>36</v>
      </c>
      <c r="Y386" s="21">
        <v>48.6</v>
      </c>
      <c r="Z386" s="20">
        <v>3750</v>
      </c>
      <c r="AA386" s="17">
        <v>2778</v>
      </c>
      <c r="AB386" s="22">
        <v>0.7</v>
      </c>
      <c r="AC386" s="23">
        <f t="shared" si="35"/>
        <v>100</v>
      </c>
      <c r="AD386" s="17">
        <v>0</v>
      </c>
      <c r="AE386" s="17">
        <v>10000</v>
      </c>
      <c r="AF386" s="17">
        <v>15000</v>
      </c>
      <c r="AG386" s="17">
        <v>0</v>
      </c>
      <c r="AH386" s="15" t="s">
        <v>42</v>
      </c>
    </row>
    <row r="387" spans="1:34">
      <c r="A387" s="13" t="str">
        <f t="shared" si="30"/>
        <v>OverStock</v>
      </c>
      <c r="B387" s="14" t="s">
        <v>241</v>
      </c>
      <c r="C387" s="15" t="s">
        <v>46</v>
      </c>
      <c r="D387" s="19">
        <f t="shared" si="31"/>
        <v>2</v>
      </c>
      <c r="E387" s="16" t="str">
        <f t="shared" si="32"/>
        <v>--</v>
      </c>
      <c r="F387" s="16">
        <f t="shared" si="33"/>
        <v>16</v>
      </c>
      <c r="G387" s="16" t="str">
        <f t="shared" si="34"/>
        <v>--</v>
      </c>
      <c r="H387" s="24" t="str">
        <f>IFERROR(VLOOKUP(B387,#REF!,8,FALSE),"")</f>
        <v/>
      </c>
      <c r="I387" s="17">
        <v>160000</v>
      </c>
      <c r="J387" s="17">
        <v>60000</v>
      </c>
      <c r="K387" s="24" t="str">
        <f>IFERROR(VLOOKUP(B387,#REF!,11,FALSE),"")</f>
        <v/>
      </c>
      <c r="L387" s="17">
        <v>20000</v>
      </c>
      <c r="M387" s="6" t="s">
        <v>745</v>
      </c>
      <c r="N387" s="18" t="str">
        <f>IFERROR(VLOOKUP(B387,#REF!,13,FALSE),"")</f>
        <v/>
      </c>
      <c r="O387" s="19" t="str">
        <f>IFERROR(VLOOKUP(B387,#REF!,14,FALSE),"")</f>
        <v/>
      </c>
      <c r="P387" s="19" t="str">
        <f>IFERROR(VLOOKUP(B387,#REF!,15,FALSE),"")</f>
        <v/>
      </c>
      <c r="Q387" s="19"/>
      <c r="R387" s="25" t="str">
        <f>IFERROR(VLOOKUP(B387,#REF!,16,FALSE),"")</f>
        <v/>
      </c>
      <c r="S387" s="17">
        <v>0</v>
      </c>
      <c r="T387" s="17">
        <v>20000</v>
      </c>
      <c r="U387" s="17">
        <v>0</v>
      </c>
      <c r="V387" s="17">
        <v>0</v>
      </c>
      <c r="W387" s="20">
        <v>180000</v>
      </c>
      <c r="X387" s="16">
        <v>18</v>
      </c>
      <c r="Y387" s="21" t="s">
        <v>40</v>
      </c>
      <c r="Z387" s="20">
        <v>10000</v>
      </c>
      <c r="AA387" s="17" t="s">
        <v>40</v>
      </c>
      <c r="AB387" s="22" t="s">
        <v>41</v>
      </c>
      <c r="AC387" s="23" t="str">
        <f t="shared" si="35"/>
        <v>E</v>
      </c>
      <c r="AD387" s="17">
        <v>0</v>
      </c>
      <c r="AE387" s="17">
        <v>0</v>
      </c>
      <c r="AF387" s="17">
        <v>0</v>
      </c>
      <c r="AG387" s="17">
        <v>0</v>
      </c>
      <c r="AH387" s="15" t="s">
        <v>42</v>
      </c>
    </row>
    <row r="388" spans="1:34">
      <c r="A388" s="13" t="str">
        <f t="shared" ref="A388:A451" si="36">IF(OR(Z388=0,LEN(Z388)=0)*OR(AA388=0,LEN(AA388)=0),IF(W388&gt;0,"ZeroZero","None"),IF(IF(LEN(X388)=0,0,X388)&gt;16,"OverStock",IF(Z388=0,"FCST","Normal")))</f>
        <v>OverStock</v>
      </c>
      <c r="B388" s="14" t="s">
        <v>242</v>
      </c>
      <c r="C388" s="15" t="s">
        <v>46</v>
      </c>
      <c r="D388" s="19">
        <f t="shared" ref="D388:D451" si="37">IF(Z388=0,"前八週無拉料",ROUND(L388/Z388,1))</f>
        <v>4.5</v>
      </c>
      <c r="E388" s="16">
        <f t="shared" ref="E388:E451" si="38">IF(OR(AA388=0,LEN(AA388)=0),"--",ROUND(L388/AA388,1))</f>
        <v>2.6</v>
      </c>
      <c r="F388" s="16">
        <f t="shared" ref="F388:F451" si="39">IF(Z388=0,"--",ROUND(I388/Z388,1))</f>
        <v>20.3</v>
      </c>
      <c r="G388" s="16">
        <f t="shared" ref="G388:G451" si="40">IF(OR(AA388=0,LEN(AA388)=0),"--",ROUND(I388/AA388,1))</f>
        <v>11.8</v>
      </c>
      <c r="H388" s="24" t="str">
        <f>IFERROR(VLOOKUP(B388,#REF!,8,FALSE),"")</f>
        <v/>
      </c>
      <c r="I388" s="17">
        <v>380000</v>
      </c>
      <c r="J388" s="17">
        <v>180000</v>
      </c>
      <c r="K388" s="24" t="str">
        <f>IFERROR(VLOOKUP(B388,#REF!,11,FALSE),"")</f>
        <v/>
      </c>
      <c r="L388" s="17">
        <v>85000</v>
      </c>
      <c r="M388" s="6" t="s">
        <v>745</v>
      </c>
      <c r="N388" s="18" t="str">
        <f>IFERROR(VLOOKUP(B388,#REF!,13,FALSE),"")</f>
        <v/>
      </c>
      <c r="O388" s="19" t="str">
        <f>IFERROR(VLOOKUP(B388,#REF!,14,FALSE),"")</f>
        <v/>
      </c>
      <c r="P388" s="19" t="str">
        <f>IFERROR(VLOOKUP(B388,#REF!,15,FALSE),"")</f>
        <v/>
      </c>
      <c r="Q388" s="19"/>
      <c r="R388" s="25" t="str">
        <f>IFERROR(VLOOKUP(B388,#REF!,16,FALSE),"")</f>
        <v/>
      </c>
      <c r="S388" s="17">
        <v>0</v>
      </c>
      <c r="T388" s="17">
        <v>85000</v>
      </c>
      <c r="U388" s="17">
        <v>0</v>
      </c>
      <c r="V388" s="17">
        <v>0</v>
      </c>
      <c r="W388" s="20">
        <v>465000</v>
      </c>
      <c r="X388" s="16">
        <v>24.8</v>
      </c>
      <c r="Y388" s="21">
        <v>14.4</v>
      </c>
      <c r="Z388" s="20">
        <v>18750</v>
      </c>
      <c r="AA388" s="17">
        <v>32222</v>
      </c>
      <c r="AB388" s="22">
        <v>1.7</v>
      </c>
      <c r="AC388" s="23">
        <f t="shared" ref="AC388:AC451" si="41">IF($AB388="E","E",IF($AB388="F","F",IF($AB388&lt;0.5,50,IF($AB388&lt;2,100,150))))</f>
        <v>100</v>
      </c>
      <c r="AD388" s="17">
        <v>10000</v>
      </c>
      <c r="AE388" s="17">
        <v>170000</v>
      </c>
      <c r="AF388" s="17">
        <v>155000</v>
      </c>
      <c r="AG388" s="17">
        <v>70000</v>
      </c>
      <c r="AH388" s="15" t="s">
        <v>42</v>
      </c>
    </row>
    <row r="389" spans="1:34">
      <c r="A389" s="13" t="str">
        <f t="shared" si="36"/>
        <v>Normal</v>
      </c>
      <c r="B389" s="14" t="s">
        <v>243</v>
      </c>
      <c r="C389" s="15" t="s">
        <v>46</v>
      </c>
      <c r="D389" s="19">
        <f t="shared" si="37"/>
        <v>4.3</v>
      </c>
      <c r="E389" s="16" t="str">
        <f t="shared" si="38"/>
        <v>--</v>
      </c>
      <c r="F389" s="16">
        <f t="shared" si="39"/>
        <v>8.5</v>
      </c>
      <c r="G389" s="16" t="str">
        <f t="shared" si="40"/>
        <v>--</v>
      </c>
      <c r="H389" s="24" t="str">
        <f>IFERROR(VLOOKUP(B389,#REF!,8,FALSE),"")</f>
        <v/>
      </c>
      <c r="I389" s="17">
        <v>80000</v>
      </c>
      <c r="J389" s="17">
        <v>0</v>
      </c>
      <c r="K389" s="24" t="str">
        <f>IFERROR(VLOOKUP(B389,#REF!,11,FALSE),"")</f>
        <v/>
      </c>
      <c r="L389" s="17">
        <v>40000</v>
      </c>
      <c r="M389" s="6" t="s">
        <v>745</v>
      </c>
      <c r="N389" s="18" t="str">
        <f>IFERROR(VLOOKUP(B389,#REF!,13,FALSE),"")</f>
        <v/>
      </c>
      <c r="O389" s="19" t="str">
        <f>IFERROR(VLOOKUP(B389,#REF!,14,FALSE),"")</f>
        <v/>
      </c>
      <c r="P389" s="19" t="str">
        <f>IFERROR(VLOOKUP(B389,#REF!,15,FALSE),"")</f>
        <v/>
      </c>
      <c r="Q389" s="19"/>
      <c r="R389" s="25" t="str">
        <f>IFERROR(VLOOKUP(B389,#REF!,16,FALSE),"")</f>
        <v/>
      </c>
      <c r="S389" s="17">
        <v>0</v>
      </c>
      <c r="T389" s="17">
        <v>40000</v>
      </c>
      <c r="U389" s="17">
        <v>0</v>
      </c>
      <c r="V389" s="17">
        <v>0</v>
      </c>
      <c r="W389" s="20">
        <v>120000</v>
      </c>
      <c r="X389" s="16">
        <v>12.8</v>
      </c>
      <c r="Y389" s="21" t="s">
        <v>40</v>
      </c>
      <c r="Z389" s="20">
        <v>9375</v>
      </c>
      <c r="AA389" s="17" t="s">
        <v>40</v>
      </c>
      <c r="AB389" s="22" t="s">
        <v>41</v>
      </c>
      <c r="AC389" s="23" t="str">
        <f t="shared" si="41"/>
        <v>E</v>
      </c>
      <c r="AD389" s="17">
        <v>0</v>
      </c>
      <c r="AE389" s="17">
        <v>0</v>
      </c>
      <c r="AF389" s="17">
        <v>0</v>
      </c>
      <c r="AG389" s="17">
        <v>0</v>
      </c>
      <c r="AH389" s="15" t="s">
        <v>42</v>
      </c>
    </row>
    <row r="390" spans="1:34">
      <c r="A390" s="13" t="str">
        <f t="shared" si="36"/>
        <v>Normal</v>
      </c>
      <c r="B390" s="14" t="s">
        <v>245</v>
      </c>
      <c r="C390" s="15" t="s">
        <v>46</v>
      </c>
      <c r="D390" s="19">
        <f t="shared" si="37"/>
        <v>4</v>
      </c>
      <c r="E390" s="16" t="str">
        <f t="shared" si="38"/>
        <v>--</v>
      </c>
      <c r="F390" s="16">
        <f t="shared" si="39"/>
        <v>0</v>
      </c>
      <c r="G390" s="16" t="str">
        <f t="shared" si="40"/>
        <v>--</v>
      </c>
      <c r="H390" s="24" t="str">
        <f>IFERROR(VLOOKUP(B390,#REF!,8,FALSE),"")</f>
        <v/>
      </c>
      <c r="I390" s="17">
        <v>0</v>
      </c>
      <c r="J390" s="17">
        <v>0</v>
      </c>
      <c r="K390" s="24" t="str">
        <f>IFERROR(VLOOKUP(B390,#REF!,11,FALSE),"")</f>
        <v/>
      </c>
      <c r="L390" s="17">
        <v>5000</v>
      </c>
      <c r="M390" s="6" t="s">
        <v>745</v>
      </c>
      <c r="N390" s="18" t="str">
        <f>IFERROR(VLOOKUP(B390,#REF!,13,FALSE),"")</f>
        <v/>
      </c>
      <c r="O390" s="19" t="str">
        <f>IFERROR(VLOOKUP(B390,#REF!,14,FALSE),"")</f>
        <v/>
      </c>
      <c r="P390" s="19" t="str">
        <f>IFERROR(VLOOKUP(B390,#REF!,15,FALSE),"")</f>
        <v/>
      </c>
      <c r="Q390" s="19"/>
      <c r="R390" s="25" t="str">
        <f>IFERROR(VLOOKUP(B390,#REF!,16,FALSE),"")</f>
        <v/>
      </c>
      <c r="S390" s="17">
        <v>0</v>
      </c>
      <c r="T390" s="17">
        <v>5000</v>
      </c>
      <c r="U390" s="17">
        <v>0</v>
      </c>
      <c r="V390" s="17">
        <v>0</v>
      </c>
      <c r="W390" s="20">
        <v>5000</v>
      </c>
      <c r="X390" s="16">
        <v>4</v>
      </c>
      <c r="Y390" s="21" t="s">
        <v>40</v>
      </c>
      <c r="Z390" s="20">
        <v>1250</v>
      </c>
      <c r="AA390" s="17" t="s">
        <v>40</v>
      </c>
      <c r="AB390" s="22" t="s">
        <v>41</v>
      </c>
      <c r="AC390" s="23" t="str">
        <f t="shared" si="41"/>
        <v>E</v>
      </c>
      <c r="AD390" s="17">
        <v>0</v>
      </c>
      <c r="AE390" s="17">
        <v>0</v>
      </c>
      <c r="AF390" s="17">
        <v>0</v>
      </c>
      <c r="AG390" s="17">
        <v>0</v>
      </c>
      <c r="AH390" s="15" t="s">
        <v>42</v>
      </c>
    </row>
    <row r="391" spans="1:34">
      <c r="A391" s="13" t="str">
        <f t="shared" si="36"/>
        <v>ZeroZero</v>
      </c>
      <c r="B391" s="14" t="s">
        <v>246</v>
      </c>
      <c r="C391" s="15" t="s">
        <v>247</v>
      </c>
      <c r="D391" s="19" t="str">
        <f t="shared" si="37"/>
        <v>前八週無拉料</v>
      </c>
      <c r="E391" s="16" t="str">
        <f t="shared" si="38"/>
        <v>--</v>
      </c>
      <c r="F391" s="16" t="str">
        <f t="shared" si="39"/>
        <v>--</v>
      </c>
      <c r="G391" s="16" t="str">
        <f t="shared" si="40"/>
        <v>--</v>
      </c>
      <c r="H391" s="24" t="str">
        <f>IFERROR(VLOOKUP(B391,#REF!,8,FALSE),"")</f>
        <v/>
      </c>
      <c r="I391" s="17">
        <v>32000</v>
      </c>
      <c r="J391" s="17">
        <v>16000</v>
      </c>
      <c r="K391" s="24" t="str">
        <f>IFERROR(VLOOKUP(B391,#REF!,11,FALSE),"")</f>
        <v/>
      </c>
      <c r="L391" s="17">
        <v>0</v>
      </c>
      <c r="M391" s="6" t="s">
        <v>747</v>
      </c>
      <c r="N391" s="18" t="str">
        <f>IFERROR(VLOOKUP(B391,#REF!,13,FALSE),"")</f>
        <v/>
      </c>
      <c r="O391" s="19" t="str">
        <f>IFERROR(VLOOKUP(B391,#REF!,14,FALSE),"")</f>
        <v/>
      </c>
      <c r="P391" s="19" t="str">
        <f>IFERROR(VLOOKUP(B391,#REF!,15,FALSE),"")</f>
        <v/>
      </c>
      <c r="Q391" s="19"/>
      <c r="R391" s="25" t="str">
        <f>IFERROR(VLOOKUP(B391,#REF!,16,FALSE),"")</f>
        <v/>
      </c>
      <c r="S391" s="17">
        <v>0</v>
      </c>
      <c r="T391" s="17">
        <v>0</v>
      </c>
      <c r="U391" s="17">
        <v>0</v>
      </c>
      <c r="V391" s="17">
        <v>0</v>
      </c>
      <c r="W391" s="20">
        <v>32000</v>
      </c>
      <c r="X391" s="16" t="s">
        <v>40</v>
      </c>
      <c r="Y391" s="21" t="s">
        <v>40</v>
      </c>
      <c r="Z391" s="20">
        <v>0</v>
      </c>
      <c r="AA391" s="17" t="s">
        <v>40</v>
      </c>
      <c r="AB391" s="22" t="s">
        <v>41</v>
      </c>
      <c r="AC391" s="23" t="str">
        <f t="shared" si="41"/>
        <v>E</v>
      </c>
      <c r="AD391" s="17">
        <v>0</v>
      </c>
      <c r="AE391" s="17">
        <v>0</v>
      </c>
      <c r="AF391" s="17">
        <v>0</v>
      </c>
      <c r="AG391" s="17">
        <v>0</v>
      </c>
      <c r="AH391" s="15" t="s">
        <v>42</v>
      </c>
    </row>
    <row r="392" spans="1:34">
      <c r="A392" s="13" t="str">
        <f t="shared" si="36"/>
        <v>Normal</v>
      </c>
      <c r="B392" s="14" t="s">
        <v>248</v>
      </c>
      <c r="C392" s="15" t="s">
        <v>247</v>
      </c>
      <c r="D392" s="19">
        <f t="shared" si="37"/>
        <v>0.1</v>
      </c>
      <c r="E392" s="16" t="str">
        <f t="shared" si="38"/>
        <v>--</v>
      </c>
      <c r="F392" s="16">
        <f t="shared" si="39"/>
        <v>6.5</v>
      </c>
      <c r="G392" s="16" t="str">
        <f t="shared" si="40"/>
        <v>--</v>
      </c>
      <c r="H392" s="24" t="str">
        <f>IFERROR(VLOOKUP(B392,#REF!,8,FALSE),"")</f>
        <v/>
      </c>
      <c r="I392" s="17">
        <v>25000</v>
      </c>
      <c r="J392" s="17">
        <v>9000</v>
      </c>
      <c r="K392" s="24" t="str">
        <f>IFERROR(VLOOKUP(B392,#REF!,11,FALSE),"")</f>
        <v/>
      </c>
      <c r="L392" s="17">
        <v>338</v>
      </c>
      <c r="M392" s="6" t="s">
        <v>747</v>
      </c>
      <c r="N392" s="18" t="str">
        <f>IFERROR(VLOOKUP(B392,#REF!,13,FALSE),"")</f>
        <v/>
      </c>
      <c r="O392" s="19" t="str">
        <f>IFERROR(VLOOKUP(B392,#REF!,14,FALSE),"")</f>
        <v/>
      </c>
      <c r="P392" s="19" t="str">
        <f>IFERROR(VLOOKUP(B392,#REF!,15,FALSE),"")</f>
        <v/>
      </c>
      <c r="Q392" s="19"/>
      <c r="R392" s="25" t="str">
        <f>IFERROR(VLOOKUP(B392,#REF!,16,FALSE),"")</f>
        <v/>
      </c>
      <c r="S392" s="17">
        <v>0</v>
      </c>
      <c r="T392" s="17">
        <v>338</v>
      </c>
      <c r="U392" s="17">
        <v>0</v>
      </c>
      <c r="V392" s="17">
        <v>0</v>
      </c>
      <c r="W392" s="20">
        <v>25338</v>
      </c>
      <c r="X392" s="16">
        <v>6.6</v>
      </c>
      <c r="Y392" s="21" t="s">
        <v>40</v>
      </c>
      <c r="Z392" s="20">
        <v>3831</v>
      </c>
      <c r="AA392" s="17" t="s">
        <v>40</v>
      </c>
      <c r="AB392" s="22" t="s">
        <v>41</v>
      </c>
      <c r="AC392" s="23" t="str">
        <f t="shared" si="41"/>
        <v>E</v>
      </c>
      <c r="AD392" s="17">
        <v>0</v>
      </c>
      <c r="AE392" s="17">
        <v>0</v>
      </c>
      <c r="AF392" s="17">
        <v>0</v>
      </c>
      <c r="AG392" s="17">
        <v>0</v>
      </c>
      <c r="AH392" s="15" t="s">
        <v>42</v>
      </c>
    </row>
    <row r="393" spans="1:34">
      <c r="A393" s="13" t="str">
        <f t="shared" si="36"/>
        <v>None</v>
      </c>
      <c r="B393" s="14" t="s">
        <v>249</v>
      </c>
      <c r="C393" s="15" t="s">
        <v>54</v>
      </c>
      <c r="D393" s="19" t="str">
        <f t="shared" si="37"/>
        <v>前八週無拉料</v>
      </c>
      <c r="E393" s="16" t="str">
        <f t="shared" si="38"/>
        <v>--</v>
      </c>
      <c r="F393" s="16" t="str">
        <f t="shared" si="39"/>
        <v>--</v>
      </c>
      <c r="G393" s="16" t="str">
        <f t="shared" si="40"/>
        <v>--</v>
      </c>
      <c r="H393" s="24" t="str">
        <f>IFERROR(VLOOKUP(B393,#REF!,8,FALSE),"")</f>
        <v/>
      </c>
      <c r="I393" s="17">
        <v>0</v>
      </c>
      <c r="J393" s="17">
        <v>0</v>
      </c>
      <c r="K393" s="24" t="str">
        <f>IFERROR(VLOOKUP(B393,#REF!,11,FALSE),"")</f>
        <v/>
      </c>
      <c r="L393" s="17">
        <v>0</v>
      </c>
      <c r="M393" s="6" t="s">
        <v>746</v>
      </c>
      <c r="N393" s="18" t="str">
        <f>IFERROR(VLOOKUP(B393,#REF!,13,FALSE),"")</f>
        <v/>
      </c>
      <c r="O393" s="19" t="str">
        <f>IFERROR(VLOOKUP(B393,#REF!,14,FALSE),"")</f>
        <v/>
      </c>
      <c r="P393" s="19" t="str">
        <f>IFERROR(VLOOKUP(B393,#REF!,15,FALSE),"")</f>
        <v/>
      </c>
      <c r="Q393" s="19"/>
      <c r="R393" s="25" t="str">
        <f>IFERROR(VLOOKUP(B393,#REF!,16,FALSE),"")</f>
        <v/>
      </c>
      <c r="S393" s="17">
        <v>0</v>
      </c>
      <c r="T393" s="17">
        <v>0</v>
      </c>
      <c r="U393" s="17">
        <v>0</v>
      </c>
      <c r="V393" s="17">
        <v>0</v>
      </c>
      <c r="W393" s="20">
        <v>0</v>
      </c>
      <c r="X393" s="16" t="s">
        <v>40</v>
      </c>
      <c r="Y393" s="21" t="s">
        <v>40</v>
      </c>
      <c r="Z393" s="20">
        <v>0</v>
      </c>
      <c r="AA393" s="17" t="s">
        <v>40</v>
      </c>
      <c r="AB393" s="22" t="s">
        <v>41</v>
      </c>
      <c r="AC393" s="23" t="str">
        <f t="shared" si="41"/>
        <v>E</v>
      </c>
      <c r="AD393" s="17">
        <v>0</v>
      </c>
      <c r="AE393" s="17">
        <v>0</v>
      </c>
      <c r="AF393" s="17">
        <v>0</v>
      </c>
      <c r="AG393" s="17">
        <v>0</v>
      </c>
      <c r="AH393" s="15" t="s">
        <v>42</v>
      </c>
    </row>
    <row r="394" spans="1:34">
      <c r="A394" s="13" t="str">
        <f t="shared" si="36"/>
        <v>Normal</v>
      </c>
      <c r="B394" s="14" t="s">
        <v>250</v>
      </c>
      <c r="C394" s="15" t="s">
        <v>54</v>
      </c>
      <c r="D394" s="19">
        <f t="shared" si="37"/>
        <v>6</v>
      </c>
      <c r="E394" s="16" t="str">
        <f t="shared" si="38"/>
        <v>--</v>
      </c>
      <c r="F394" s="16">
        <f t="shared" si="39"/>
        <v>9.1999999999999993</v>
      </c>
      <c r="G394" s="16" t="str">
        <f t="shared" si="40"/>
        <v>--</v>
      </c>
      <c r="H394" s="24" t="str">
        <f>IFERROR(VLOOKUP(B394,#REF!,8,FALSE),"")</f>
        <v/>
      </c>
      <c r="I394" s="17">
        <v>11000</v>
      </c>
      <c r="J394" s="17">
        <v>11000</v>
      </c>
      <c r="K394" s="24" t="str">
        <f>IFERROR(VLOOKUP(B394,#REF!,11,FALSE),"")</f>
        <v/>
      </c>
      <c r="L394" s="17">
        <v>7200</v>
      </c>
      <c r="M394" s="6" t="s">
        <v>746</v>
      </c>
      <c r="N394" s="18" t="str">
        <f>IFERROR(VLOOKUP(B394,#REF!,13,FALSE),"")</f>
        <v/>
      </c>
      <c r="O394" s="19" t="str">
        <f>IFERROR(VLOOKUP(B394,#REF!,14,FALSE),"")</f>
        <v/>
      </c>
      <c r="P394" s="19" t="str">
        <f>IFERROR(VLOOKUP(B394,#REF!,15,FALSE),"")</f>
        <v/>
      </c>
      <c r="Q394" s="19"/>
      <c r="R394" s="25" t="str">
        <f>IFERROR(VLOOKUP(B394,#REF!,16,FALSE),"")</f>
        <v/>
      </c>
      <c r="S394" s="17">
        <v>0</v>
      </c>
      <c r="T394" s="17">
        <v>7200</v>
      </c>
      <c r="U394" s="17">
        <v>0</v>
      </c>
      <c r="V394" s="17">
        <v>0</v>
      </c>
      <c r="W394" s="20">
        <v>18200</v>
      </c>
      <c r="X394" s="16">
        <v>15.2</v>
      </c>
      <c r="Y394" s="21" t="s">
        <v>40</v>
      </c>
      <c r="Z394" s="20">
        <v>1200</v>
      </c>
      <c r="AA394" s="17" t="s">
        <v>40</v>
      </c>
      <c r="AB394" s="22" t="s">
        <v>41</v>
      </c>
      <c r="AC394" s="23" t="str">
        <f t="shared" si="41"/>
        <v>E</v>
      </c>
      <c r="AD394" s="17">
        <v>0</v>
      </c>
      <c r="AE394" s="17">
        <v>0</v>
      </c>
      <c r="AF394" s="17">
        <v>0</v>
      </c>
      <c r="AG394" s="17">
        <v>0</v>
      </c>
      <c r="AH394" s="15" t="s">
        <v>42</v>
      </c>
    </row>
    <row r="395" spans="1:34">
      <c r="A395" s="13" t="str">
        <f t="shared" si="36"/>
        <v>ZeroZero</v>
      </c>
      <c r="B395" s="14" t="s">
        <v>251</v>
      </c>
      <c r="C395" s="15" t="s">
        <v>54</v>
      </c>
      <c r="D395" s="19" t="str">
        <f t="shared" si="37"/>
        <v>前八週無拉料</v>
      </c>
      <c r="E395" s="16" t="str">
        <f t="shared" si="38"/>
        <v>--</v>
      </c>
      <c r="F395" s="16" t="str">
        <f t="shared" si="39"/>
        <v>--</v>
      </c>
      <c r="G395" s="16" t="str">
        <f t="shared" si="40"/>
        <v>--</v>
      </c>
      <c r="H395" s="24" t="str">
        <f>IFERROR(VLOOKUP(B395,#REF!,8,FALSE),"")</f>
        <v/>
      </c>
      <c r="I395" s="17">
        <v>503</v>
      </c>
      <c r="J395" s="17">
        <v>503</v>
      </c>
      <c r="K395" s="24" t="str">
        <f>IFERROR(VLOOKUP(B395,#REF!,11,FALSE),"")</f>
        <v/>
      </c>
      <c r="L395" s="17">
        <v>0</v>
      </c>
      <c r="M395" s="6" t="s">
        <v>746</v>
      </c>
      <c r="N395" s="18" t="str">
        <f>IFERROR(VLOOKUP(B395,#REF!,13,FALSE),"")</f>
        <v/>
      </c>
      <c r="O395" s="19" t="str">
        <f>IFERROR(VLOOKUP(B395,#REF!,14,FALSE),"")</f>
        <v/>
      </c>
      <c r="P395" s="19" t="str">
        <f>IFERROR(VLOOKUP(B395,#REF!,15,FALSE),"")</f>
        <v/>
      </c>
      <c r="Q395" s="19"/>
      <c r="R395" s="25" t="str">
        <f>IFERROR(VLOOKUP(B395,#REF!,16,FALSE),"")</f>
        <v/>
      </c>
      <c r="S395" s="17">
        <v>0</v>
      </c>
      <c r="T395" s="17">
        <v>0</v>
      </c>
      <c r="U395" s="17">
        <v>0</v>
      </c>
      <c r="V395" s="17">
        <v>0</v>
      </c>
      <c r="W395" s="20">
        <v>503</v>
      </c>
      <c r="X395" s="16" t="s">
        <v>40</v>
      </c>
      <c r="Y395" s="21" t="s">
        <v>40</v>
      </c>
      <c r="Z395" s="20">
        <v>0</v>
      </c>
      <c r="AA395" s="17" t="s">
        <v>40</v>
      </c>
      <c r="AB395" s="22" t="s">
        <v>41</v>
      </c>
      <c r="AC395" s="23" t="str">
        <f t="shared" si="41"/>
        <v>E</v>
      </c>
      <c r="AD395" s="17">
        <v>0</v>
      </c>
      <c r="AE395" s="17">
        <v>0</v>
      </c>
      <c r="AF395" s="17">
        <v>0</v>
      </c>
      <c r="AG395" s="17">
        <v>0</v>
      </c>
      <c r="AH395" s="15" t="s">
        <v>42</v>
      </c>
    </row>
    <row r="396" spans="1:34">
      <c r="A396" s="13" t="str">
        <f t="shared" si="36"/>
        <v>None</v>
      </c>
      <c r="B396" s="14" t="s">
        <v>252</v>
      </c>
      <c r="C396" s="15" t="s">
        <v>253</v>
      </c>
      <c r="D396" s="19" t="str">
        <f t="shared" si="37"/>
        <v>前八週無拉料</v>
      </c>
      <c r="E396" s="16" t="str">
        <f t="shared" si="38"/>
        <v>--</v>
      </c>
      <c r="F396" s="16" t="str">
        <f t="shared" si="39"/>
        <v>--</v>
      </c>
      <c r="G396" s="16" t="str">
        <f t="shared" si="40"/>
        <v>--</v>
      </c>
      <c r="H396" s="24" t="str">
        <f>IFERROR(VLOOKUP(B396,#REF!,8,FALSE),"")</f>
        <v/>
      </c>
      <c r="I396" s="17">
        <v>0</v>
      </c>
      <c r="J396" s="17">
        <v>0</v>
      </c>
      <c r="K396" s="24" t="str">
        <f>IFERROR(VLOOKUP(B396,#REF!,11,FALSE),"")</f>
        <v/>
      </c>
      <c r="L396" s="17">
        <v>0</v>
      </c>
      <c r="M396" s="6" t="s">
        <v>746</v>
      </c>
      <c r="N396" s="18" t="str">
        <f>IFERROR(VLOOKUP(B396,#REF!,13,FALSE),"")</f>
        <v/>
      </c>
      <c r="O396" s="19" t="str">
        <f>IFERROR(VLOOKUP(B396,#REF!,14,FALSE),"")</f>
        <v/>
      </c>
      <c r="P396" s="19" t="str">
        <f>IFERROR(VLOOKUP(B396,#REF!,15,FALSE),"")</f>
        <v/>
      </c>
      <c r="Q396" s="19"/>
      <c r="R396" s="25" t="str">
        <f>IFERROR(VLOOKUP(B396,#REF!,16,FALSE),"")</f>
        <v/>
      </c>
      <c r="S396" s="17">
        <v>0</v>
      </c>
      <c r="T396" s="17">
        <v>0</v>
      </c>
      <c r="U396" s="17">
        <v>0</v>
      </c>
      <c r="V396" s="17">
        <v>0</v>
      </c>
      <c r="W396" s="20">
        <v>0</v>
      </c>
      <c r="X396" s="16" t="s">
        <v>40</v>
      </c>
      <c r="Y396" s="21" t="s">
        <v>40</v>
      </c>
      <c r="Z396" s="20">
        <v>0</v>
      </c>
      <c r="AA396" s="17" t="s">
        <v>40</v>
      </c>
      <c r="AB396" s="22" t="s">
        <v>41</v>
      </c>
      <c r="AC396" s="23" t="str">
        <f t="shared" si="41"/>
        <v>E</v>
      </c>
      <c r="AD396" s="17">
        <v>0</v>
      </c>
      <c r="AE396" s="17">
        <v>0</v>
      </c>
      <c r="AF396" s="17">
        <v>0</v>
      </c>
      <c r="AG396" s="17">
        <v>0</v>
      </c>
      <c r="AH396" s="15" t="s">
        <v>42</v>
      </c>
    </row>
    <row r="397" spans="1:34">
      <c r="A397" s="13" t="str">
        <f t="shared" si="36"/>
        <v>OverStock</v>
      </c>
      <c r="B397" s="14" t="s">
        <v>254</v>
      </c>
      <c r="C397" s="15" t="s">
        <v>255</v>
      </c>
      <c r="D397" s="19">
        <f t="shared" si="37"/>
        <v>0</v>
      </c>
      <c r="E397" s="16">
        <f t="shared" si="38"/>
        <v>0</v>
      </c>
      <c r="F397" s="16">
        <f t="shared" si="39"/>
        <v>32</v>
      </c>
      <c r="G397" s="16">
        <f t="shared" si="40"/>
        <v>12</v>
      </c>
      <c r="H397" s="24" t="str">
        <f>IFERROR(VLOOKUP(B397,#REF!,8,FALSE),"")</f>
        <v/>
      </c>
      <c r="I397" s="17">
        <v>36000</v>
      </c>
      <c r="J397" s="17">
        <v>36000</v>
      </c>
      <c r="K397" s="24" t="str">
        <f>IFERROR(VLOOKUP(B397,#REF!,11,FALSE),"")</f>
        <v/>
      </c>
      <c r="L397" s="17">
        <v>0</v>
      </c>
      <c r="M397" s="6" t="s">
        <v>743</v>
      </c>
      <c r="N397" s="18" t="str">
        <f>IFERROR(VLOOKUP(B397,#REF!,13,FALSE),"")</f>
        <v/>
      </c>
      <c r="O397" s="19" t="str">
        <f>IFERROR(VLOOKUP(B397,#REF!,14,FALSE),"")</f>
        <v/>
      </c>
      <c r="P397" s="19" t="str">
        <f>IFERROR(VLOOKUP(B397,#REF!,15,FALSE),"")</f>
        <v/>
      </c>
      <c r="Q397" s="19"/>
      <c r="R397" s="25" t="str">
        <f>IFERROR(VLOOKUP(B397,#REF!,16,FALSE),"")</f>
        <v/>
      </c>
      <c r="S397" s="17">
        <v>0</v>
      </c>
      <c r="T397" s="17">
        <v>0</v>
      </c>
      <c r="U397" s="17">
        <v>0</v>
      </c>
      <c r="V397" s="17">
        <v>0</v>
      </c>
      <c r="W397" s="20">
        <v>36000</v>
      </c>
      <c r="X397" s="16">
        <v>32</v>
      </c>
      <c r="Y397" s="21">
        <v>12</v>
      </c>
      <c r="Z397" s="20">
        <v>1125</v>
      </c>
      <c r="AA397" s="17">
        <v>3000</v>
      </c>
      <c r="AB397" s="22">
        <v>2.7</v>
      </c>
      <c r="AC397" s="23">
        <f t="shared" si="41"/>
        <v>150</v>
      </c>
      <c r="AD397" s="17">
        <v>0</v>
      </c>
      <c r="AE397" s="17">
        <v>9000</v>
      </c>
      <c r="AF397" s="17">
        <v>18000</v>
      </c>
      <c r="AG397" s="17">
        <v>0</v>
      </c>
      <c r="AH397" s="15" t="s">
        <v>42</v>
      </c>
    </row>
    <row r="398" spans="1:34">
      <c r="A398" s="13" t="str">
        <f t="shared" si="36"/>
        <v>ZeroZero</v>
      </c>
      <c r="B398" s="14" t="s">
        <v>256</v>
      </c>
      <c r="C398" s="15" t="s">
        <v>255</v>
      </c>
      <c r="D398" s="19" t="str">
        <f t="shared" si="37"/>
        <v>前八週無拉料</v>
      </c>
      <c r="E398" s="16" t="str">
        <f t="shared" si="38"/>
        <v>--</v>
      </c>
      <c r="F398" s="16" t="str">
        <f t="shared" si="39"/>
        <v>--</v>
      </c>
      <c r="G398" s="16" t="str">
        <f t="shared" si="40"/>
        <v>--</v>
      </c>
      <c r="H398" s="24" t="str">
        <f>IFERROR(VLOOKUP(B398,#REF!,8,FALSE),"")</f>
        <v/>
      </c>
      <c r="I398" s="17">
        <v>42000</v>
      </c>
      <c r="J398" s="17">
        <v>42000</v>
      </c>
      <c r="K398" s="24" t="str">
        <f>IFERROR(VLOOKUP(B398,#REF!,11,FALSE),"")</f>
        <v/>
      </c>
      <c r="L398" s="17">
        <v>0</v>
      </c>
      <c r="M398" s="6" t="s">
        <v>743</v>
      </c>
      <c r="N398" s="18" t="str">
        <f>IFERROR(VLOOKUP(B398,#REF!,13,FALSE),"")</f>
        <v/>
      </c>
      <c r="O398" s="19" t="str">
        <f>IFERROR(VLOOKUP(B398,#REF!,14,FALSE),"")</f>
        <v/>
      </c>
      <c r="P398" s="19" t="str">
        <f>IFERROR(VLOOKUP(B398,#REF!,15,FALSE),"")</f>
        <v/>
      </c>
      <c r="Q398" s="19"/>
      <c r="R398" s="25" t="str">
        <f>IFERROR(VLOOKUP(B398,#REF!,16,FALSE),"")</f>
        <v/>
      </c>
      <c r="S398" s="17">
        <v>0</v>
      </c>
      <c r="T398" s="17">
        <v>0</v>
      </c>
      <c r="U398" s="17">
        <v>0</v>
      </c>
      <c r="V398" s="17">
        <v>0</v>
      </c>
      <c r="W398" s="20">
        <v>42000</v>
      </c>
      <c r="X398" s="16" t="s">
        <v>40</v>
      </c>
      <c r="Y398" s="21" t="s">
        <v>40</v>
      </c>
      <c r="Z398" s="20">
        <v>0</v>
      </c>
      <c r="AA398" s="17" t="s">
        <v>40</v>
      </c>
      <c r="AB398" s="22" t="s">
        <v>41</v>
      </c>
      <c r="AC398" s="23" t="str">
        <f t="shared" si="41"/>
        <v>E</v>
      </c>
      <c r="AD398" s="17">
        <v>0</v>
      </c>
      <c r="AE398" s="17">
        <v>0</v>
      </c>
      <c r="AF398" s="17">
        <v>0</v>
      </c>
      <c r="AG398" s="17">
        <v>0</v>
      </c>
      <c r="AH398" s="15" t="s">
        <v>42</v>
      </c>
    </row>
    <row r="399" spans="1:34">
      <c r="A399" s="13" t="str">
        <f t="shared" si="36"/>
        <v>None</v>
      </c>
      <c r="B399" s="14" t="s">
        <v>257</v>
      </c>
      <c r="C399" s="15" t="s">
        <v>255</v>
      </c>
      <c r="D399" s="19" t="str">
        <f t="shared" si="37"/>
        <v>前八週無拉料</v>
      </c>
      <c r="E399" s="16" t="str">
        <f t="shared" si="38"/>
        <v>--</v>
      </c>
      <c r="F399" s="16" t="str">
        <f t="shared" si="39"/>
        <v>--</v>
      </c>
      <c r="G399" s="16" t="str">
        <f t="shared" si="40"/>
        <v>--</v>
      </c>
      <c r="H399" s="24" t="str">
        <f>IFERROR(VLOOKUP(B399,#REF!,8,FALSE),"")</f>
        <v/>
      </c>
      <c r="I399" s="17">
        <v>0</v>
      </c>
      <c r="J399" s="17">
        <v>0</v>
      </c>
      <c r="K399" s="24" t="str">
        <f>IFERROR(VLOOKUP(B399,#REF!,11,FALSE),"")</f>
        <v/>
      </c>
      <c r="L399" s="17">
        <v>0</v>
      </c>
      <c r="M399" s="6" t="s">
        <v>743</v>
      </c>
      <c r="N399" s="18" t="str">
        <f>IFERROR(VLOOKUP(B399,#REF!,13,FALSE),"")</f>
        <v/>
      </c>
      <c r="O399" s="19" t="str">
        <f>IFERROR(VLOOKUP(B399,#REF!,14,FALSE),"")</f>
        <v/>
      </c>
      <c r="P399" s="19" t="str">
        <f>IFERROR(VLOOKUP(B399,#REF!,15,FALSE),"")</f>
        <v/>
      </c>
      <c r="Q399" s="19"/>
      <c r="R399" s="25" t="str">
        <f>IFERROR(VLOOKUP(B399,#REF!,16,FALSE),"")</f>
        <v/>
      </c>
      <c r="S399" s="17">
        <v>0</v>
      </c>
      <c r="T399" s="17">
        <v>0</v>
      </c>
      <c r="U399" s="17">
        <v>0</v>
      </c>
      <c r="V399" s="17">
        <v>0</v>
      </c>
      <c r="W399" s="20">
        <v>0</v>
      </c>
      <c r="X399" s="16" t="s">
        <v>40</v>
      </c>
      <c r="Y399" s="21" t="s">
        <v>40</v>
      </c>
      <c r="Z399" s="20">
        <v>0</v>
      </c>
      <c r="AA399" s="17" t="s">
        <v>40</v>
      </c>
      <c r="AB399" s="22" t="s">
        <v>41</v>
      </c>
      <c r="AC399" s="23" t="str">
        <f t="shared" si="41"/>
        <v>E</v>
      </c>
      <c r="AD399" s="17">
        <v>0</v>
      </c>
      <c r="AE399" s="17">
        <v>0</v>
      </c>
      <c r="AF399" s="17">
        <v>0</v>
      </c>
      <c r="AG399" s="17">
        <v>0</v>
      </c>
      <c r="AH399" s="15" t="s">
        <v>42</v>
      </c>
    </row>
    <row r="400" spans="1:34">
      <c r="A400" s="13" t="str">
        <f t="shared" si="36"/>
        <v>ZeroZero</v>
      </c>
      <c r="B400" s="14" t="s">
        <v>259</v>
      </c>
      <c r="C400" s="15" t="s">
        <v>255</v>
      </c>
      <c r="D400" s="19" t="str">
        <f t="shared" si="37"/>
        <v>前八週無拉料</v>
      </c>
      <c r="E400" s="16" t="str">
        <f t="shared" si="38"/>
        <v>--</v>
      </c>
      <c r="F400" s="16" t="str">
        <f t="shared" si="39"/>
        <v>--</v>
      </c>
      <c r="G400" s="16" t="str">
        <f t="shared" si="40"/>
        <v>--</v>
      </c>
      <c r="H400" s="24" t="str">
        <f>IFERROR(VLOOKUP(B400,#REF!,8,FALSE),"")</f>
        <v/>
      </c>
      <c r="I400" s="17">
        <v>0</v>
      </c>
      <c r="J400" s="17">
        <v>0</v>
      </c>
      <c r="K400" s="24" t="str">
        <f>IFERROR(VLOOKUP(B400,#REF!,11,FALSE),"")</f>
        <v/>
      </c>
      <c r="L400" s="17">
        <v>1000</v>
      </c>
      <c r="M400" s="6" t="s">
        <v>744</v>
      </c>
      <c r="N400" s="18" t="str">
        <f>IFERROR(VLOOKUP(B400,#REF!,13,FALSE),"")</f>
        <v/>
      </c>
      <c r="O400" s="19" t="str">
        <f>IFERROR(VLOOKUP(B400,#REF!,14,FALSE),"")</f>
        <v/>
      </c>
      <c r="P400" s="19" t="str">
        <f>IFERROR(VLOOKUP(B400,#REF!,15,FALSE),"")</f>
        <v/>
      </c>
      <c r="Q400" s="19"/>
      <c r="R400" s="25" t="str">
        <f>IFERROR(VLOOKUP(B400,#REF!,16,FALSE),"")</f>
        <v/>
      </c>
      <c r="S400" s="17">
        <v>0</v>
      </c>
      <c r="T400" s="17">
        <v>1000</v>
      </c>
      <c r="U400" s="17">
        <v>0</v>
      </c>
      <c r="V400" s="17">
        <v>0</v>
      </c>
      <c r="W400" s="20">
        <v>1000</v>
      </c>
      <c r="X400" s="16" t="s">
        <v>40</v>
      </c>
      <c r="Y400" s="21" t="s">
        <v>40</v>
      </c>
      <c r="Z400" s="20">
        <v>0</v>
      </c>
      <c r="AA400" s="17" t="s">
        <v>40</v>
      </c>
      <c r="AB400" s="22" t="s">
        <v>41</v>
      </c>
      <c r="AC400" s="23" t="str">
        <f t="shared" si="41"/>
        <v>E</v>
      </c>
      <c r="AD400" s="17">
        <v>0</v>
      </c>
      <c r="AE400" s="17">
        <v>0</v>
      </c>
      <c r="AF400" s="17">
        <v>0</v>
      </c>
      <c r="AG400" s="17">
        <v>0</v>
      </c>
      <c r="AH400" s="15" t="s">
        <v>42</v>
      </c>
    </row>
    <row r="401" spans="1:34">
      <c r="A401" s="13" t="str">
        <f t="shared" si="36"/>
        <v>Normal</v>
      </c>
      <c r="B401" s="14" t="s">
        <v>261</v>
      </c>
      <c r="C401" s="15" t="s">
        <v>255</v>
      </c>
      <c r="D401" s="19">
        <f t="shared" si="37"/>
        <v>8.6</v>
      </c>
      <c r="E401" s="16" t="str">
        <f t="shared" si="38"/>
        <v>--</v>
      </c>
      <c r="F401" s="16">
        <f t="shared" si="39"/>
        <v>0</v>
      </c>
      <c r="G401" s="16" t="str">
        <f t="shared" si="40"/>
        <v>--</v>
      </c>
      <c r="H401" s="24" t="str">
        <f>IFERROR(VLOOKUP(B401,#REF!,8,FALSE),"")</f>
        <v/>
      </c>
      <c r="I401" s="17">
        <v>0</v>
      </c>
      <c r="J401" s="17">
        <v>0</v>
      </c>
      <c r="K401" s="24" t="str">
        <f>IFERROR(VLOOKUP(B401,#REF!,11,FALSE),"")</f>
        <v/>
      </c>
      <c r="L401" s="17">
        <v>232000</v>
      </c>
      <c r="M401" s="6" t="s">
        <v>743</v>
      </c>
      <c r="N401" s="18" t="str">
        <f>IFERROR(VLOOKUP(B401,#REF!,13,FALSE),"")</f>
        <v/>
      </c>
      <c r="O401" s="19" t="str">
        <f>IFERROR(VLOOKUP(B401,#REF!,14,FALSE),"")</f>
        <v/>
      </c>
      <c r="P401" s="19" t="str">
        <f>IFERROR(VLOOKUP(B401,#REF!,15,FALSE),"")</f>
        <v/>
      </c>
      <c r="Q401" s="19"/>
      <c r="R401" s="25" t="str">
        <f>IFERROR(VLOOKUP(B401,#REF!,16,FALSE),"")</f>
        <v/>
      </c>
      <c r="S401" s="17">
        <v>0</v>
      </c>
      <c r="T401" s="17">
        <v>232000</v>
      </c>
      <c r="U401" s="17">
        <v>0</v>
      </c>
      <c r="V401" s="17">
        <v>0</v>
      </c>
      <c r="W401" s="20">
        <v>232000</v>
      </c>
      <c r="X401" s="16">
        <v>8.6</v>
      </c>
      <c r="Y401" s="21" t="s">
        <v>40</v>
      </c>
      <c r="Z401" s="20">
        <v>27000</v>
      </c>
      <c r="AA401" s="17" t="s">
        <v>40</v>
      </c>
      <c r="AB401" s="22" t="s">
        <v>41</v>
      </c>
      <c r="AC401" s="23" t="str">
        <f t="shared" si="41"/>
        <v>E</v>
      </c>
      <c r="AD401" s="17">
        <v>0</v>
      </c>
      <c r="AE401" s="17">
        <v>0</v>
      </c>
      <c r="AF401" s="17">
        <v>0</v>
      </c>
      <c r="AG401" s="17">
        <v>0</v>
      </c>
      <c r="AH401" s="15" t="s">
        <v>42</v>
      </c>
    </row>
    <row r="402" spans="1:34">
      <c r="A402" s="13" t="str">
        <f t="shared" si="36"/>
        <v>Normal</v>
      </c>
      <c r="B402" s="14" t="s">
        <v>264</v>
      </c>
      <c r="C402" s="15" t="s">
        <v>265</v>
      </c>
      <c r="D402" s="19">
        <f t="shared" si="37"/>
        <v>0</v>
      </c>
      <c r="E402" s="16" t="str">
        <f t="shared" si="38"/>
        <v>--</v>
      </c>
      <c r="F402" s="16">
        <f t="shared" si="39"/>
        <v>0</v>
      </c>
      <c r="G402" s="16" t="str">
        <f t="shared" si="40"/>
        <v>--</v>
      </c>
      <c r="H402" s="24" t="str">
        <f>IFERROR(VLOOKUP(B402,#REF!,8,FALSE),"")</f>
        <v/>
      </c>
      <c r="I402" s="17">
        <v>0</v>
      </c>
      <c r="J402" s="17">
        <v>0</v>
      </c>
      <c r="K402" s="24" t="str">
        <f>IFERROR(VLOOKUP(B402,#REF!,11,FALSE),"")</f>
        <v/>
      </c>
      <c r="L402" s="17">
        <v>0</v>
      </c>
      <c r="M402" s="6" t="s">
        <v>743</v>
      </c>
      <c r="N402" s="18" t="str">
        <f>IFERROR(VLOOKUP(B402,#REF!,13,FALSE),"")</f>
        <v/>
      </c>
      <c r="O402" s="19" t="str">
        <f>IFERROR(VLOOKUP(B402,#REF!,14,FALSE),"")</f>
        <v/>
      </c>
      <c r="P402" s="19" t="str">
        <f>IFERROR(VLOOKUP(B402,#REF!,15,FALSE),"")</f>
        <v/>
      </c>
      <c r="Q402" s="19"/>
      <c r="R402" s="25" t="str">
        <f>IFERROR(VLOOKUP(B402,#REF!,16,FALSE),"")</f>
        <v/>
      </c>
      <c r="S402" s="17">
        <v>0</v>
      </c>
      <c r="T402" s="17">
        <v>0</v>
      </c>
      <c r="U402" s="17">
        <v>0</v>
      </c>
      <c r="V402" s="17">
        <v>0</v>
      </c>
      <c r="W402" s="20">
        <v>0</v>
      </c>
      <c r="X402" s="16">
        <v>0</v>
      </c>
      <c r="Y402" s="21" t="s">
        <v>40</v>
      </c>
      <c r="Z402" s="20">
        <v>313</v>
      </c>
      <c r="AA402" s="17">
        <v>0</v>
      </c>
      <c r="AB402" s="22" t="s">
        <v>41</v>
      </c>
      <c r="AC402" s="23" t="str">
        <f t="shared" si="41"/>
        <v>E</v>
      </c>
      <c r="AD402" s="17">
        <v>0</v>
      </c>
      <c r="AE402" s="17">
        <v>0</v>
      </c>
      <c r="AF402" s="17">
        <v>0</v>
      </c>
      <c r="AG402" s="17">
        <v>0</v>
      </c>
      <c r="AH402" s="15" t="s">
        <v>42</v>
      </c>
    </row>
    <row r="403" spans="1:34">
      <c r="A403" s="13" t="str">
        <f t="shared" si="36"/>
        <v>None</v>
      </c>
      <c r="B403" s="14" t="s">
        <v>266</v>
      </c>
      <c r="C403" s="15" t="s">
        <v>48</v>
      </c>
      <c r="D403" s="19" t="str">
        <f t="shared" si="37"/>
        <v>前八週無拉料</v>
      </c>
      <c r="E403" s="16" t="str">
        <f t="shared" si="38"/>
        <v>--</v>
      </c>
      <c r="F403" s="16" t="str">
        <f t="shared" si="39"/>
        <v>--</v>
      </c>
      <c r="G403" s="16" t="str">
        <f t="shared" si="40"/>
        <v>--</v>
      </c>
      <c r="H403" s="24" t="str">
        <f>IFERROR(VLOOKUP(B403,#REF!,8,FALSE),"")</f>
        <v/>
      </c>
      <c r="I403" s="17">
        <v>0</v>
      </c>
      <c r="J403" s="17">
        <v>0</v>
      </c>
      <c r="K403" s="24" t="str">
        <f>IFERROR(VLOOKUP(B403,#REF!,11,FALSE),"")</f>
        <v/>
      </c>
      <c r="L403" s="17">
        <v>0</v>
      </c>
      <c r="M403" s="6" t="s">
        <v>743</v>
      </c>
      <c r="N403" s="18" t="str">
        <f>IFERROR(VLOOKUP(B403,#REF!,13,FALSE),"")</f>
        <v/>
      </c>
      <c r="O403" s="19" t="str">
        <f>IFERROR(VLOOKUP(B403,#REF!,14,FALSE),"")</f>
        <v/>
      </c>
      <c r="P403" s="19" t="str">
        <f>IFERROR(VLOOKUP(B403,#REF!,15,FALSE),"")</f>
        <v/>
      </c>
      <c r="Q403" s="19"/>
      <c r="R403" s="25" t="str">
        <f>IFERROR(VLOOKUP(B403,#REF!,16,FALSE),"")</f>
        <v/>
      </c>
      <c r="S403" s="17">
        <v>0</v>
      </c>
      <c r="T403" s="17">
        <v>0</v>
      </c>
      <c r="U403" s="17">
        <v>0</v>
      </c>
      <c r="V403" s="17">
        <v>0</v>
      </c>
      <c r="W403" s="20">
        <v>0</v>
      </c>
      <c r="X403" s="16" t="s">
        <v>40</v>
      </c>
      <c r="Y403" s="21" t="s">
        <v>40</v>
      </c>
      <c r="Z403" s="20">
        <v>0</v>
      </c>
      <c r="AA403" s="17" t="s">
        <v>40</v>
      </c>
      <c r="AB403" s="22" t="s">
        <v>41</v>
      </c>
      <c r="AC403" s="23" t="str">
        <f t="shared" si="41"/>
        <v>E</v>
      </c>
      <c r="AD403" s="17">
        <v>0</v>
      </c>
      <c r="AE403" s="17">
        <v>0</v>
      </c>
      <c r="AF403" s="17">
        <v>0</v>
      </c>
      <c r="AG403" s="17">
        <v>0</v>
      </c>
      <c r="AH403" s="15" t="s">
        <v>42</v>
      </c>
    </row>
    <row r="404" spans="1:34">
      <c r="A404" s="13" t="str">
        <f t="shared" si="36"/>
        <v>Normal</v>
      </c>
      <c r="B404" s="14" t="s">
        <v>47</v>
      </c>
      <c r="C404" s="15" t="s">
        <v>48</v>
      </c>
      <c r="D404" s="19">
        <f t="shared" si="37"/>
        <v>3.7</v>
      </c>
      <c r="E404" s="16">
        <f t="shared" si="38"/>
        <v>2</v>
      </c>
      <c r="F404" s="16">
        <f t="shared" si="39"/>
        <v>0</v>
      </c>
      <c r="G404" s="16">
        <f t="shared" si="40"/>
        <v>0</v>
      </c>
      <c r="H404" s="24" t="str">
        <f>IFERROR(VLOOKUP(B404,#REF!,8,FALSE),"")</f>
        <v/>
      </c>
      <c r="I404" s="17">
        <v>0</v>
      </c>
      <c r="J404" s="17">
        <v>0</v>
      </c>
      <c r="K404" s="24" t="str">
        <f>IFERROR(VLOOKUP(B404,#REF!,11,FALSE),"")</f>
        <v/>
      </c>
      <c r="L404" s="17">
        <v>14000</v>
      </c>
      <c r="M404" s="6" t="s">
        <v>743</v>
      </c>
      <c r="N404" s="18" t="str">
        <f>IFERROR(VLOOKUP(B404,#REF!,13,FALSE),"")</f>
        <v/>
      </c>
      <c r="O404" s="19" t="str">
        <f>IFERROR(VLOOKUP(B404,#REF!,14,FALSE),"")</f>
        <v/>
      </c>
      <c r="P404" s="19" t="str">
        <f>IFERROR(VLOOKUP(B404,#REF!,15,FALSE),"")</f>
        <v/>
      </c>
      <c r="Q404" s="19"/>
      <c r="R404" s="25" t="str">
        <f>IFERROR(VLOOKUP(B404,#REF!,16,FALSE),"")</f>
        <v/>
      </c>
      <c r="S404" s="17">
        <v>0</v>
      </c>
      <c r="T404" s="17">
        <v>14000</v>
      </c>
      <c r="U404" s="17">
        <v>0</v>
      </c>
      <c r="V404" s="17">
        <v>0</v>
      </c>
      <c r="W404" s="20">
        <v>14000</v>
      </c>
      <c r="X404" s="16">
        <v>3.7</v>
      </c>
      <c r="Y404" s="21">
        <v>2</v>
      </c>
      <c r="Z404" s="20">
        <v>3750</v>
      </c>
      <c r="AA404" s="17">
        <v>6889</v>
      </c>
      <c r="AB404" s="22">
        <v>1.8</v>
      </c>
      <c r="AC404" s="23">
        <f t="shared" si="41"/>
        <v>100</v>
      </c>
      <c r="AD404" s="17">
        <v>0</v>
      </c>
      <c r="AE404" s="17">
        <v>34000</v>
      </c>
      <c r="AF404" s="17">
        <v>28000</v>
      </c>
      <c r="AG404" s="17">
        <v>10000</v>
      </c>
      <c r="AH404" s="15" t="s">
        <v>42</v>
      </c>
    </row>
    <row r="405" spans="1:34">
      <c r="A405" s="13" t="str">
        <f t="shared" si="36"/>
        <v>Normal</v>
      </c>
      <c r="B405" s="14" t="s">
        <v>49</v>
      </c>
      <c r="C405" s="15" t="s">
        <v>48</v>
      </c>
      <c r="D405" s="19">
        <f t="shared" si="37"/>
        <v>8.8000000000000007</v>
      </c>
      <c r="E405" s="16" t="str">
        <f t="shared" si="38"/>
        <v>--</v>
      </c>
      <c r="F405" s="16">
        <f t="shared" si="39"/>
        <v>0</v>
      </c>
      <c r="G405" s="16" t="str">
        <f t="shared" si="40"/>
        <v>--</v>
      </c>
      <c r="H405" s="24" t="str">
        <f>IFERROR(VLOOKUP(B405,#REF!,8,FALSE),"")</f>
        <v/>
      </c>
      <c r="I405" s="17">
        <v>0</v>
      </c>
      <c r="J405" s="17">
        <v>0</v>
      </c>
      <c r="K405" s="24" t="str">
        <f>IFERROR(VLOOKUP(B405,#REF!,11,FALSE),"")</f>
        <v/>
      </c>
      <c r="L405" s="17">
        <v>88000</v>
      </c>
      <c r="M405" s="6" t="s">
        <v>743</v>
      </c>
      <c r="N405" s="18" t="str">
        <f>IFERROR(VLOOKUP(B405,#REF!,13,FALSE),"")</f>
        <v/>
      </c>
      <c r="O405" s="19" t="str">
        <f>IFERROR(VLOOKUP(B405,#REF!,14,FALSE),"")</f>
        <v/>
      </c>
      <c r="P405" s="19" t="str">
        <f>IFERROR(VLOOKUP(B405,#REF!,15,FALSE),"")</f>
        <v/>
      </c>
      <c r="Q405" s="19"/>
      <c r="R405" s="25" t="str">
        <f>IFERROR(VLOOKUP(B405,#REF!,16,FALSE),"")</f>
        <v/>
      </c>
      <c r="S405" s="17">
        <v>0</v>
      </c>
      <c r="T405" s="17">
        <v>88000</v>
      </c>
      <c r="U405" s="17">
        <v>0</v>
      </c>
      <c r="V405" s="17">
        <v>0</v>
      </c>
      <c r="W405" s="20">
        <v>88000</v>
      </c>
      <c r="X405" s="16">
        <v>8.8000000000000007</v>
      </c>
      <c r="Y405" s="21" t="s">
        <v>40</v>
      </c>
      <c r="Z405" s="20">
        <v>10000</v>
      </c>
      <c r="AA405" s="17" t="s">
        <v>40</v>
      </c>
      <c r="AB405" s="22" t="s">
        <v>41</v>
      </c>
      <c r="AC405" s="23" t="str">
        <f t="shared" si="41"/>
        <v>E</v>
      </c>
      <c r="AD405" s="17">
        <v>0</v>
      </c>
      <c r="AE405" s="17">
        <v>0</v>
      </c>
      <c r="AF405" s="17">
        <v>0</v>
      </c>
      <c r="AG405" s="17">
        <v>0</v>
      </c>
      <c r="AH405" s="15" t="s">
        <v>42</v>
      </c>
    </row>
    <row r="406" spans="1:34">
      <c r="A406" s="13" t="str">
        <f t="shared" si="36"/>
        <v>Normal</v>
      </c>
      <c r="B406" s="14" t="s">
        <v>267</v>
      </c>
      <c r="C406" s="15" t="s">
        <v>48</v>
      </c>
      <c r="D406" s="19">
        <f t="shared" si="37"/>
        <v>2.4</v>
      </c>
      <c r="E406" s="16" t="str">
        <f t="shared" si="38"/>
        <v>--</v>
      </c>
      <c r="F406" s="16">
        <f t="shared" si="39"/>
        <v>0</v>
      </c>
      <c r="G406" s="16" t="str">
        <f t="shared" si="40"/>
        <v>--</v>
      </c>
      <c r="H406" s="24" t="str">
        <f>IFERROR(VLOOKUP(B406,#REF!,8,FALSE),"")</f>
        <v/>
      </c>
      <c r="I406" s="17">
        <v>0</v>
      </c>
      <c r="J406" s="17">
        <v>0</v>
      </c>
      <c r="K406" s="24" t="str">
        <f>IFERROR(VLOOKUP(B406,#REF!,11,FALSE),"")</f>
        <v/>
      </c>
      <c r="L406" s="17">
        <v>18000</v>
      </c>
      <c r="M406" s="6" t="s">
        <v>743</v>
      </c>
      <c r="N406" s="18" t="str">
        <f>IFERROR(VLOOKUP(B406,#REF!,13,FALSE),"")</f>
        <v/>
      </c>
      <c r="O406" s="19" t="str">
        <f>IFERROR(VLOOKUP(B406,#REF!,14,FALSE),"")</f>
        <v/>
      </c>
      <c r="P406" s="19" t="str">
        <f>IFERROR(VLOOKUP(B406,#REF!,15,FALSE),"")</f>
        <v/>
      </c>
      <c r="Q406" s="19"/>
      <c r="R406" s="25" t="str">
        <f>IFERROR(VLOOKUP(B406,#REF!,16,FALSE),"")</f>
        <v/>
      </c>
      <c r="S406" s="17">
        <v>0</v>
      </c>
      <c r="T406" s="17">
        <v>18000</v>
      </c>
      <c r="U406" s="17">
        <v>0</v>
      </c>
      <c r="V406" s="17">
        <v>0</v>
      </c>
      <c r="W406" s="20">
        <v>18000</v>
      </c>
      <c r="X406" s="16">
        <v>2.4</v>
      </c>
      <c r="Y406" s="21" t="s">
        <v>40</v>
      </c>
      <c r="Z406" s="20">
        <v>7500</v>
      </c>
      <c r="AA406" s="17" t="s">
        <v>40</v>
      </c>
      <c r="AB406" s="22" t="s">
        <v>41</v>
      </c>
      <c r="AC406" s="23" t="str">
        <f t="shared" si="41"/>
        <v>E</v>
      </c>
      <c r="AD406" s="17">
        <v>0</v>
      </c>
      <c r="AE406" s="17">
        <v>0</v>
      </c>
      <c r="AF406" s="17">
        <v>0</v>
      </c>
      <c r="AG406" s="17">
        <v>0</v>
      </c>
      <c r="AH406" s="15" t="s">
        <v>42</v>
      </c>
    </row>
    <row r="407" spans="1:34">
      <c r="A407" s="13" t="str">
        <f t="shared" si="36"/>
        <v>Normal</v>
      </c>
      <c r="B407" s="14" t="s">
        <v>270</v>
      </c>
      <c r="C407" s="15" t="s">
        <v>269</v>
      </c>
      <c r="D407" s="19">
        <f t="shared" si="37"/>
        <v>10</v>
      </c>
      <c r="E407" s="16" t="str">
        <f t="shared" si="38"/>
        <v>--</v>
      </c>
      <c r="F407" s="16">
        <f t="shared" si="39"/>
        <v>0</v>
      </c>
      <c r="G407" s="16" t="str">
        <f t="shared" si="40"/>
        <v>--</v>
      </c>
      <c r="H407" s="24" t="str">
        <f>IFERROR(VLOOKUP(B407,#REF!,8,FALSE),"")</f>
        <v/>
      </c>
      <c r="I407" s="17">
        <v>0</v>
      </c>
      <c r="J407" s="17">
        <v>0</v>
      </c>
      <c r="K407" s="24" t="str">
        <f>IFERROR(VLOOKUP(B407,#REF!,11,FALSE),"")</f>
        <v/>
      </c>
      <c r="L407" s="17">
        <v>15000</v>
      </c>
      <c r="M407" s="6" t="s">
        <v>748</v>
      </c>
      <c r="N407" s="18" t="str">
        <f>IFERROR(VLOOKUP(B407,#REF!,13,FALSE),"")</f>
        <v/>
      </c>
      <c r="O407" s="19" t="str">
        <f>IFERROR(VLOOKUP(B407,#REF!,14,FALSE),"")</f>
        <v/>
      </c>
      <c r="P407" s="19" t="str">
        <f>IFERROR(VLOOKUP(B407,#REF!,15,FALSE),"")</f>
        <v/>
      </c>
      <c r="Q407" s="19"/>
      <c r="R407" s="25" t="str">
        <f>IFERROR(VLOOKUP(B407,#REF!,16,FALSE),"")</f>
        <v/>
      </c>
      <c r="S407" s="17">
        <v>0</v>
      </c>
      <c r="T407" s="17">
        <v>15000</v>
      </c>
      <c r="U407" s="17">
        <v>0</v>
      </c>
      <c r="V407" s="17">
        <v>0</v>
      </c>
      <c r="W407" s="20">
        <v>15000</v>
      </c>
      <c r="X407" s="16">
        <v>10</v>
      </c>
      <c r="Y407" s="21" t="s">
        <v>40</v>
      </c>
      <c r="Z407" s="20">
        <v>1500</v>
      </c>
      <c r="AA407" s="17" t="s">
        <v>40</v>
      </c>
      <c r="AB407" s="22" t="s">
        <v>41</v>
      </c>
      <c r="AC407" s="23" t="str">
        <f t="shared" si="41"/>
        <v>E</v>
      </c>
      <c r="AD407" s="17">
        <v>0</v>
      </c>
      <c r="AE407" s="17">
        <v>0</v>
      </c>
      <c r="AF407" s="17">
        <v>0</v>
      </c>
      <c r="AG407" s="17">
        <v>0</v>
      </c>
      <c r="AH407" s="15" t="s">
        <v>42</v>
      </c>
    </row>
    <row r="408" spans="1:34">
      <c r="A408" s="13" t="str">
        <f t="shared" si="36"/>
        <v>OverStock</v>
      </c>
      <c r="B408" s="14" t="s">
        <v>271</v>
      </c>
      <c r="C408" s="15" t="s">
        <v>269</v>
      </c>
      <c r="D408" s="19">
        <f t="shared" si="37"/>
        <v>44.4</v>
      </c>
      <c r="E408" s="16" t="str">
        <f t="shared" si="38"/>
        <v>--</v>
      </c>
      <c r="F408" s="16">
        <f t="shared" si="39"/>
        <v>0</v>
      </c>
      <c r="G408" s="16" t="str">
        <f t="shared" si="40"/>
        <v>--</v>
      </c>
      <c r="H408" s="24" t="str">
        <f>IFERROR(VLOOKUP(B408,#REF!,8,FALSE),"")</f>
        <v/>
      </c>
      <c r="I408" s="17">
        <v>0</v>
      </c>
      <c r="J408" s="17">
        <v>0</v>
      </c>
      <c r="K408" s="24" t="str">
        <f>IFERROR(VLOOKUP(B408,#REF!,11,FALSE),"")</f>
        <v/>
      </c>
      <c r="L408" s="17">
        <v>183000</v>
      </c>
      <c r="M408" s="6" t="s">
        <v>748</v>
      </c>
      <c r="N408" s="18" t="str">
        <f>IFERROR(VLOOKUP(B408,#REF!,13,FALSE),"")</f>
        <v/>
      </c>
      <c r="O408" s="19" t="str">
        <f>IFERROR(VLOOKUP(B408,#REF!,14,FALSE),"")</f>
        <v/>
      </c>
      <c r="P408" s="19" t="str">
        <f>IFERROR(VLOOKUP(B408,#REF!,15,FALSE),"")</f>
        <v/>
      </c>
      <c r="Q408" s="19"/>
      <c r="R408" s="25" t="str">
        <f>IFERROR(VLOOKUP(B408,#REF!,16,FALSE),"")</f>
        <v/>
      </c>
      <c r="S408" s="17">
        <v>0</v>
      </c>
      <c r="T408" s="17">
        <v>183000</v>
      </c>
      <c r="U408" s="17">
        <v>0</v>
      </c>
      <c r="V408" s="17">
        <v>0</v>
      </c>
      <c r="W408" s="20">
        <v>183000</v>
      </c>
      <c r="X408" s="16">
        <v>44.4</v>
      </c>
      <c r="Y408" s="21" t="s">
        <v>40</v>
      </c>
      <c r="Z408" s="20">
        <v>4125</v>
      </c>
      <c r="AA408" s="17" t="s">
        <v>40</v>
      </c>
      <c r="AB408" s="22" t="s">
        <v>41</v>
      </c>
      <c r="AC408" s="23" t="str">
        <f t="shared" si="41"/>
        <v>E</v>
      </c>
      <c r="AD408" s="17">
        <v>0</v>
      </c>
      <c r="AE408" s="17">
        <v>0</v>
      </c>
      <c r="AF408" s="17">
        <v>0</v>
      </c>
      <c r="AG408" s="17">
        <v>0</v>
      </c>
      <c r="AH408" s="15" t="s">
        <v>42</v>
      </c>
    </row>
    <row r="409" spans="1:34">
      <c r="A409" s="13" t="str">
        <f t="shared" si="36"/>
        <v>None</v>
      </c>
      <c r="B409" s="14" t="s">
        <v>272</v>
      </c>
      <c r="C409" s="15" t="s">
        <v>269</v>
      </c>
      <c r="D409" s="19" t="str">
        <f t="shared" si="37"/>
        <v>前八週無拉料</v>
      </c>
      <c r="E409" s="16" t="str">
        <f t="shared" si="38"/>
        <v>--</v>
      </c>
      <c r="F409" s="16" t="str">
        <f t="shared" si="39"/>
        <v>--</v>
      </c>
      <c r="G409" s="16" t="str">
        <f t="shared" si="40"/>
        <v>--</v>
      </c>
      <c r="H409" s="24" t="str">
        <f>IFERROR(VLOOKUP(B409,#REF!,8,FALSE),"")</f>
        <v/>
      </c>
      <c r="I409" s="17">
        <v>0</v>
      </c>
      <c r="J409" s="17">
        <v>0</v>
      </c>
      <c r="K409" s="24" t="str">
        <f>IFERROR(VLOOKUP(B409,#REF!,11,FALSE),"")</f>
        <v/>
      </c>
      <c r="L409" s="17">
        <v>0</v>
      </c>
      <c r="M409" s="6" t="s">
        <v>748</v>
      </c>
      <c r="N409" s="18" t="str">
        <f>IFERROR(VLOOKUP(B409,#REF!,13,FALSE),"")</f>
        <v/>
      </c>
      <c r="O409" s="19" t="str">
        <f>IFERROR(VLOOKUP(B409,#REF!,14,FALSE),"")</f>
        <v/>
      </c>
      <c r="P409" s="19" t="str">
        <f>IFERROR(VLOOKUP(B409,#REF!,15,FALSE),"")</f>
        <v/>
      </c>
      <c r="Q409" s="19"/>
      <c r="R409" s="25" t="str">
        <f>IFERROR(VLOOKUP(B409,#REF!,16,FALSE),"")</f>
        <v/>
      </c>
      <c r="S409" s="17">
        <v>0</v>
      </c>
      <c r="T409" s="17">
        <v>0</v>
      </c>
      <c r="U409" s="17">
        <v>0</v>
      </c>
      <c r="V409" s="17">
        <v>0</v>
      </c>
      <c r="W409" s="20">
        <v>0</v>
      </c>
      <c r="X409" s="16" t="s">
        <v>40</v>
      </c>
      <c r="Y409" s="21" t="s">
        <v>40</v>
      </c>
      <c r="Z409" s="20">
        <v>0</v>
      </c>
      <c r="AA409" s="17" t="s">
        <v>40</v>
      </c>
      <c r="AB409" s="22" t="s">
        <v>41</v>
      </c>
      <c r="AC409" s="23" t="str">
        <f t="shared" si="41"/>
        <v>E</v>
      </c>
      <c r="AD409" s="17">
        <v>0</v>
      </c>
      <c r="AE409" s="17">
        <v>0</v>
      </c>
      <c r="AF409" s="17">
        <v>0</v>
      </c>
      <c r="AG409" s="17">
        <v>0</v>
      </c>
      <c r="AH409" s="15" t="s">
        <v>42</v>
      </c>
    </row>
    <row r="410" spans="1:34">
      <c r="A410" s="13" t="str">
        <f t="shared" si="36"/>
        <v>Normal</v>
      </c>
      <c r="B410" s="14" t="s">
        <v>273</v>
      </c>
      <c r="C410" s="15" t="s">
        <v>269</v>
      </c>
      <c r="D410" s="19">
        <f t="shared" si="37"/>
        <v>4.9000000000000004</v>
      </c>
      <c r="E410" s="16" t="str">
        <f t="shared" si="38"/>
        <v>--</v>
      </c>
      <c r="F410" s="16">
        <f t="shared" si="39"/>
        <v>0</v>
      </c>
      <c r="G410" s="16" t="str">
        <f t="shared" si="40"/>
        <v>--</v>
      </c>
      <c r="H410" s="24" t="str">
        <f>IFERROR(VLOOKUP(B410,#REF!,8,FALSE),"")</f>
        <v/>
      </c>
      <c r="I410" s="17">
        <v>0</v>
      </c>
      <c r="J410" s="17">
        <v>0</v>
      </c>
      <c r="K410" s="24" t="str">
        <f>IFERROR(VLOOKUP(B410,#REF!,11,FALSE),"")</f>
        <v/>
      </c>
      <c r="L410" s="17">
        <v>35500</v>
      </c>
      <c r="M410" s="6" t="s">
        <v>748</v>
      </c>
      <c r="N410" s="18" t="str">
        <f>IFERROR(VLOOKUP(B410,#REF!,13,FALSE),"")</f>
        <v/>
      </c>
      <c r="O410" s="19" t="str">
        <f>IFERROR(VLOOKUP(B410,#REF!,14,FALSE),"")</f>
        <v/>
      </c>
      <c r="P410" s="19" t="str">
        <f>IFERROR(VLOOKUP(B410,#REF!,15,FALSE),"")</f>
        <v/>
      </c>
      <c r="Q410" s="19"/>
      <c r="R410" s="25" t="str">
        <f>IFERROR(VLOOKUP(B410,#REF!,16,FALSE),"")</f>
        <v/>
      </c>
      <c r="S410" s="17">
        <v>0</v>
      </c>
      <c r="T410" s="17">
        <v>35500</v>
      </c>
      <c r="U410" s="17">
        <v>0</v>
      </c>
      <c r="V410" s="17">
        <v>0</v>
      </c>
      <c r="W410" s="20">
        <v>35500</v>
      </c>
      <c r="X410" s="16">
        <v>4.9000000000000004</v>
      </c>
      <c r="Y410" s="21" t="s">
        <v>40</v>
      </c>
      <c r="Z410" s="20">
        <v>7200</v>
      </c>
      <c r="AA410" s="17" t="s">
        <v>40</v>
      </c>
      <c r="AB410" s="22" t="s">
        <v>41</v>
      </c>
      <c r="AC410" s="23" t="str">
        <f t="shared" si="41"/>
        <v>E</v>
      </c>
      <c r="AD410" s="17">
        <v>0</v>
      </c>
      <c r="AE410" s="17">
        <v>0</v>
      </c>
      <c r="AF410" s="17">
        <v>0</v>
      </c>
      <c r="AG410" s="17">
        <v>0</v>
      </c>
      <c r="AH410" s="15" t="s">
        <v>42</v>
      </c>
    </row>
    <row r="411" spans="1:34">
      <c r="A411" s="13" t="str">
        <f t="shared" si="36"/>
        <v>Normal</v>
      </c>
      <c r="B411" s="14" t="s">
        <v>276</v>
      </c>
      <c r="C411" s="15" t="s">
        <v>277</v>
      </c>
      <c r="D411" s="19">
        <f t="shared" si="37"/>
        <v>0</v>
      </c>
      <c r="E411" s="16" t="str">
        <f t="shared" si="38"/>
        <v>--</v>
      </c>
      <c r="F411" s="16">
        <f t="shared" si="39"/>
        <v>0</v>
      </c>
      <c r="G411" s="16" t="str">
        <f t="shared" si="40"/>
        <v>--</v>
      </c>
      <c r="H411" s="24" t="str">
        <f>IFERROR(VLOOKUP(B411,#REF!,8,FALSE),"")</f>
        <v/>
      </c>
      <c r="I411" s="17">
        <v>0</v>
      </c>
      <c r="J411" s="17">
        <v>0</v>
      </c>
      <c r="K411" s="24" t="str">
        <f>IFERROR(VLOOKUP(B411,#REF!,11,FALSE),"")</f>
        <v/>
      </c>
      <c r="L411" s="17">
        <v>0</v>
      </c>
      <c r="M411" s="6" t="s">
        <v>748</v>
      </c>
      <c r="N411" s="18" t="str">
        <f>IFERROR(VLOOKUP(B411,#REF!,13,FALSE),"")</f>
        <v/>
      </c>
      <c r="O411" s="19" t="str">
        <f>IFERROR(VLOOKUP(B411,#REF!,14,FALSE),"")</f>
        <v/>
      </c>
      <c r="P411" s="19" t="str">
        <f>IFERROR(VLOOKUP(B411,#REF!,15,FALSE),"")</f>
        <v/>
      </c>
      <c r="Q411" s="19"/>
      <c r="R411" s="25" t="str">
        <f>IFERROR(VLOOKUP(B411,#REF!,16,FALSE),"")</f>
        <v/>
      </c>
      <c r="S411" s="17">
        <v>0</v>
      </c>
      <c r="T411" s="17">
        <v>0</v>
      </c>
      <c r="U411" s="17">
        <v>0</v>
      </c>
      <c r="V411" s="17">
        <v>0</v>
      </c>
      <c r="W411" s="20">
        <v>0</v>
      </c>
      <c r="X411" s="16">
        <v>0</v>
      </c>
      <c r="Y411" s="21" t="s">
        <v>40</v>
      </c>
      <c r="Z411" s="20">
        <v>23</v>
      </c>
      <c r="AA411" s="17" t="s">
        <v>40</v>
      </c>
      <c r="AB411" s="22" t="s">
        <v>41</v>
      </c>
      <c r="AC411" s="23" t="str">
        <f t="shared" si="41"/>
        <v>E</v>
      </c>
      <c r="AD411" s="17">
        <v>0</v>
      </c>
      <c r="AE411" s="17">
        <v>0</v>
      </c>
      <c r="AF411" s="17">
        <v>0</v>
      </c>
      <c r="AG411" s="17">
        <v>0</v>
      </c>
      <c r="AH411" s="15" t="s">
        <v>42</v>
      </c>
    </row>
    <row r="412" spans="1:34">
      <c r="A412" s="13" t="str">
        <f t="shared" si="36"/>
        <v>Normal</v>
      </c>
      <c r="B412" s="14" t="s">
        <v>278</v>
      </c>
      <c r="C412" s="15" t="s">
        <v>269</v>
      </c>
      <c r="D412" s="19">
        <f t="shared" si="37"/>
        <v>2</v>
      </c>
      <c r="E412" s="16" t="str">
        <f t="shared" si="38"/>
        <v>--</v>
      </c>
      <c r="F412" s="16">
        <f t="shared" si="39"/>
        <v>0</v>
      </c>
      <c r="G412" s="16" t="str">
        <f t="shared" si="40"/>
        <v>--</v>
      </c>
      <c r="H412" s="24" t="str">
        <f>IFERROR(VLOOKUP(B412,#REF!,8,FALSE),"")</f>
        <v/>
      </c>
      <c r="I412" s="17">
        <v>0</v>
      </c>
      <c r="J412" s="17">
        <v>0</v>
      </c>
      <c r="K412" s="24" t="str">
        <f>IFERROR(VLOOKUP(B412,#REF!,11,FALSE),"")</f>
        <v/>
      </c>
      <c r="L412" s="17">
        <v>4000</v>
      </c>
      <c r="M412" s="6" t="s">
        <v>748</v>
      </c>
      <c r="N412" s="18" t="str">
        <f>IFERROR(VLOOKUP(B412,#REF!,13,FALSE),"")</f>
        <v/>
      </c>
      <c r="O412" s="19" t="str">
        <f>IFERROR(VLOOKUP(B412,#REF!,14,FALSE),"")</f>
        <v/>
      </c>
      <c r="P412" s="19" t="str">
        <f>IFERROR(VLOOKUP(B412,#REF!,15,FALSE),"")</f>
        <v/>
      </c>
      <c r="Q412" s="19"/>
      <c r="R412" s="25" t="str">
        <f>IFERROR(VLOOKUP(B412,#REF!,16,FALSE),"")</f>
        <v/>
      </c>
      <c r="S412" s="17">
        <v>0</v>
      </c>
      <c r="T412" s="17">
        <v>4000</v>
      </c>
      <c r="U412" s="17">
        <v>0</v>
      </c>
      <c r="V412" s="17">
        <v>0</v>
      </c>
      <c r="W412" s="20">
        <v>4000</v>
      </c>
      <c r="X412" s="16">
        <v>2</v>
      </c>
      <c r="Y412" s="21" t="s">
        <v>40</v>
      </c>
      <c r="Z412" s="20">
        <v>2000</v>
      </c>
      <c r="AA412" s="17" t="s">
        <v>40</v>
      </c>
      <c r="AB412" s="22" t="s">
        <v>41</v>
      </c>
      <c r="AC412" s="23" t="str">
        <f t="shared" si="41"/>
        <v>E</v>
      </c>
      <c r="AD412" s="17">
        <v>0</v>
      </c>
      <c r="AE412" s="17">
        <v>0</v>
      </c>
      <c r="AF412" s="17">
        <v>0</v>
      </c>
      <c r="AG412" s="17">
        <v>0</v>
      </c>
      <c r="AH412" s="15" t="s">
        <v>42</v>
      </c>
    </row>
    <row r="413" spans="1:34">
      <c r="A413" s="13" t="str">
        <f t="shared" si="36"/>
        <v>Normal</v>
      </c>
      <c r="B413" s="14" t="s">
        <v>279</v>
      </c>
      <c r="C413" s="15" t="s">
        <v>280</v>
      </c>
      <c r="D413" s="19">
        <f t="shared" si="37"/>
        <v>3.9</v>
      </c>
      <c r="E413" s="16">
        <f t="shared" si="38"/>
        <v>41.8</v>
      </c>
      <c r="F413" s="16">
        <f t="shared" si="39"/>
        <v>4.8</v>
      </c>
      <c r="G413" s="16">
        <f t="shared" si="40"/>
        <v>52.3</v>
      </c>
      <c r="H413" s="24" t="str">
        <f>IFERROR(VLOOKUP(B413,#REF!,8,FALSE),"")</f>
        <v/>
      </c>
      <c r="I413" s="17">
        <v>60000</v>
      </c>
      <c r="J413" s="17">
        <v>60000</v>
      </c>
      <c r="K413" s="24" t="str">
        <f>IFERROR(VLOOKUP(B413,#REF!,11,FALSE),"")</f>
        <v/>
      </c>
      <c r="L413" s="17">
        <v>48000</v>
      </c>
      <c r="M413" s="6" t="s">
        <v>748</v>
      </c>
      <c r="N413" s="18" t="str">
        <f>IFERROR(VLOOKUP(B413,#REF!,13,FALSE),"")</f>
        <v/>
      </c>
      <c r="O413" s="19" t="str">
        <f>IFERROR(VLOOKUP(B413,#REF!,14,FALSE),"")</f>
        <v/>
      </c>
      <c r="P413" s="19" t="str">
        <f>IFERROR(VLOOKUP(B413,#REF!,15,FALSE),"")</f>
        <v/>
      </c>
      <c r="Q413" s="19"/>
      <c r="R413" s="25" t="str">
        <f>IFERROR(VLOOKUP(B413,#REF!,16,FALSE),"")</f>
        <v/>
      </c>
      <c r="S413" s="17">
        <v>0</v>
      </c>
      <c r="T413" s="17">
        <v>30000</v>
      </c>
      <c r="U413" s="17">
        <v>18000</v>
      </c>
      <c r="V413" s="17">
        <v>0</v>
      </c>
      <c r="W413" s="20">
        <v>108000</v>
      </c>
      <c r="X413" s="16">
        <v>8.6999999999999993</v>
      </c>
      <c r="Y413" s="21">
        <v>94.1</v>
      </c>
      <c r="Z413" s="20">
        <v>12375</v>
      </c>
      <c r="AA413" s="17">
        <v>1148</v>
      </c>
      <c r="AB413" s="22">
        <v>0.1</v>
      </c>
      <c r="AC413" s="23">
        <f t="shared" si="41"/>
        <v>50</v>
      </c>
      <c r="AD413" s="17">
        <v>2587</v>
      </c>
      <c r="AE413" s="17">
        <v>5726</v>
      </c>
      <c r="AF413" s="17">
        <v>2840</v>
      </c>
      <c r="AG413" s="17">
        <v>5180</v>
      </c>
      <c r="AH413" s="15" t="s">
        <v>42</v>
      </c>
    </row>
    <row r="414" spans="1:34">
      <c r="A414" s="13" t="str">
        <f t="shared" si="36"/>
        <v>OverStock</v>
      </c>
      <c r="B414" s="14" t="s">
        <v>282</v>
      </c>
      <c r="C414" s="15" t="s">
        <v>280</v>
      </c>
      <c r="D414" s="19">
        <f t="shared" si="37"/>
        <v>1</v>
      </c>
      <c r="E414" s="16">
        <f t="shared" si="38"/>
        <v>2.8</v>
      </c>
      <c r="F414" s="16">
        <f t="shared" si="39"/>
        <v>46.5</v>
      </c>
      <c r="G414" s="16">
        <f t="shared" si="40"/>
        <v>126</v>
      </c>
      <c r="H414" s="24" t="str">
        <f>IFERROR(VLOOKUP(B414,#REF!,8,FALSE),"")</f>
        <v/>
      </c>
      <c r="I414" s="17">
        <v>1344000</v>
      </c>
      <c r="J414" s="17">
        <v>354000</v>
      </c>
      <c r="K414" s="24" t="str">
        <f>IFERROR(VLOOKUP(B414,#REF!,11,FALSE),"")</f>
        <v/>
      </c>
      <c r="L414" s="17">
        <v>30000</v>
      </c>
      <c r="M414" s="6" t="s">
        <v>749</v>
      </c>
      <c r="N414" s="18" t="str">
        <f>IFERROR(VLOOKUP(B414,#REF!,13,FALSE),"")</f>
        <v/>
      </c>
      <c r="O414" s="19" t="str">
        <f>IFERROR(VLOOKUP(B414,#REF!,14,FALSE),"")</f>
        <v/>
      </c>
      <c r="P414" s="19" t="str">
        <f>IFERROR(VLOOKUP(B414,#REF!,15,FALSE),"")</f>
        <v/>
      </c>
      <c r="Q414" s="19"/>
      <c r="R414" s="25" t="str">
        <f>IFERROR(VLOOKUP(B414,#REF!,16,FALSE),"")</f>
        <v/>
      </c>
      <c r="S414" s="17">
        <v>0</v>
      </c>
      <c r="T414" s="17">
        <v>30000</v>
      </c>
      <c r="U414" s="17">
        <v>0</v>
      </c>
      <c r="V414" s="17">
        <v>0</v>
      </c>
      <c r="W414" s="20">
        <v>1374000</v>
      </c>
      <c r="X414" s="16">
        <v>47.6</v>
      </c>
      <c r="Y414" s="21">
        <v>128.80000000000001</v>
      </c>
      <c r="Z414" s="20">
        <v>28875</v>
      </c>
      <c r="AA414" s="17">
        <v>10666</v>
      </c>
      <c r="AB414" s="22">
        <v>0.4</v>
      </c>
      <c r="AC414" s="23">
        <f t="shared" si="41"/>
        <v>50</v>
      </c>
      <c r="AD414" s="17">
        <v>81000</v>
      </c>
      <c r="AE414" s="17">
        <v>45000</v>
      </c>
      <c r="AF414" s="17">
        <v>129000</v>
      </c>
      <c r="AG414" s="17">
        <v>45000</v>
      </c>
      <c r="AH414" s="15" t="s">
        <v>42</v>
      </c>
    </row>
    <row r="415" spans="1:34">
      <c r="A415" s="13" t="str">
        <f t="shared" si="36"/>
        <v>OverStock</v>
      </c>
      <c r="B415" s="14" t="s">
        <v>283</v>
      </c>
      <c r="C415" s="15" t="s">
        <v>280</v>
      </c>
      <c r="D415" s="19">
        <f t="shared" si="37"/>
        <v>1.5</v>
      </c>
      <c r="E415" s="16">
        <f t="shared" si="38"/>
        <v>1.3</v>
      </c>
      <c r="F415" s="16">
        <f t="shared" si="39"/>
        <v>41.6</v>
      </c>
      <c r="G415" s="16">
        <f t="shared" si="40"/>
        <v>34.5</v>
      </c>
      <c r="H415" s="24" t="str">
        <f>IFERROR(VLOOKUP(B415,#REF!,8,FALSE),"")</f>
        <v/>
      </c>
      <c r="I415" s="17">
        <v>1701000</v>
      </c>
      <c r="J415" s="17">
        <v>363000</v>
      </c>
      <c r="K415" s="24" t="str">
        <f>IFERROR(VLOOKUP(B415,#REF!,11,FALSE),"")</f>
        <v/>
      </c>
      <c r="L415" s="17">
        <v>63000</v>
      </c>
      <c r="M415" s="6" t="s">
        <v>749</v>
      </c>
      <c r="N415" s="18" t="str">
        <f>IFERROR(VLOOKUP(B415,#REF!,13,FALSE),"")</f>
        <v/>
      </c>
      <c r="O415" s="19" t="str">
        <f>IFERROR(VLOOKUP(B415,#REF!,14,FALSE),"")</f>
        <v/>
      </c>
      <c r="P415" s="19" t="str">
        <f>IFERROR(VLOOKUP(B415,#REF!,15,FALSE),"")</f>
        <v/>
      </c>
      <c r="Q415" s="19"/>
      <c r="R415" s="25" t="str">
        <f>IFERROR(VLOOKUP(B415,#REF!,16,FALSE),"")</f>
        <v/>
      </c>
      <c r="S415" s="17">
        <v>0</v>
      </c>
      <c r="T415" s="17">
        <v>63000</v>
      </c>
      <c r="U415" s="17">
        <v>0</v>
      </c>
      <c r="V415" s="17">
        <v>0</v>
      </c>
      <c r="W415" s="20">
        <v>1764000</v>
      </c>
      <c r="X415" s="16">
        <v>43.2</v>
      </c>
      <c r="Y415" s="21">
        <v>35.799999999999997</v>
      </c>
      <c r="Z415" s="20">
        <v>40875</v>
      </c>
      <c r="AA415" s="17">
        <v>49239</v>
      </c>
      <c r="AB415" s="22">
        <v>1.2</v>
      </c>
      <c r="AC415" s="23">
        <f t="shared" si="41"/>
        <v>100</v>
      </c>
      <c r="AD415" s="17">
        <v>375000</v>
      </c>
      <c r="AE415" s="17">
        <v>68147</v>
      </c>
      <c r="AF415" s="17">
        <v>0</v>
      </c>
      <c r="AG415" s="17">
        <v>0</v>
      </c>
      <c r="AH415" s="15" t="s">
        <v>42</v>
      </c>
    </row>
    <row r="416" spans="1:34">
      <c r="A416" s="13" t="str">
        <f t="shared" si="36"/>
        <v>ZeroZero</v>
      </c>
      <c r="B416" s="14" t="s">
        <v>284</v>
      </c>
      <c r="C416" s="15" t="s">
        <v>280</v>
      </c>
      <c r="D416" s="19" t="str">
        <f t="shared" si="37"/>
        <v>前八週無拉料</v>
      </c>
      <c r="E416" s="16" t="str">
        <f t="shared" si="38"/>
        <v>--</v>
      </c>
      <c r="F416" s="16" t="str">
        <f t="shared" si="39"/>
        <v>--</v>
      </c>
      <c r="G416" s="16" t="str">
        <f t="shared" si="40"/>
        <v>--</v>
      </c>
      <c r="H416" s="24" t="str">
        <f>IFERROR(VLOOKUP(B416,#REF!,8,FALSE),"")</f>
        <v/>
      </c>
      <c r="I416" s="17">
        <v>18000</v>
      </c>
      <c r="J416" s="17">
        <v>0</v>
      </c>
      <c r="K416" s="24" t="str">
        <f>IFERROR(VLOOKUP(B416,#REF!,11,FALSE),"")</f>
        <v/>
      </c>
      <c r="L416" s="17">
        <v>0</v>
      </c>
      <c r="M416" s="6" t="s">
        <v>750</v>
      </c>
      <c r="N416" s="18" t="str">
        <f>IFERROR(VLOOKUP(B416,#REF!,13,FALSE),"")</f>
        <v/>
      </c>
      <c r="O416" s="19" t="str">
        <f>IFERROR(VLOOKUP(B416,#REF!,14,FALSE),"")</f>
        <v/>
      </c>
      <c r="P416" s="19" t="str">
        <f>IFERROR(VLOOKUP(B416,#REF!,15,FALSE),"")</f>
        <v/>
      </c>
      <c r="Q416" s="19"/>
      <c r="R416" s="25" t="str">
        <f>IFERROR(VLOOKUP(B416,#REF!,16,FALSE),"")</f>
        <v/>
      </c>
      <c r="S416" s="17">
        <v>0</v>
      </c>
      <c r="T416" s="17">
        <v>0</v>
      </c>
      <c r="U416" s="17">
        <v>0</v>
      </c>
      <c r="V416" s="17">
        <v>0</v>
      </c>
      <c r="W416" s="20">
        <v>18000</v>
      </c>
      <c r="X416" s="16" t="s">
        <v>40</v>
      </c>
      <c r="Y416" s="21" t="s">
        <v>40</v>
      </c>
      <c r="Z416" s="20">
        <v>0</v>
      </c>
      <c r="AA416" s="17" t="s">
        <v>40</v>
      </c>
      <c r="AB416" s="22" t="s">
        <v>41</v>
      </c>
      <c r="AC416" s="23" t="str">
        <f t="shared" si="41"/>
        <v>E</v>
      </c>
      <c r="AD416" s="17">
        <v>0</v>
      </c>
      <c r="AE416" s="17">
        <v>0</v>
      </c>
      <c r="AF416" s="17">
        <v>0</v>
      </c>
      <c r="AG416" s="17">
        <v>0</v>
      </c>
      <c r="AH416" s="15" t="s">
        <v>42</v>
      </c>
    </row>
    <row r="417" spans="1:34">
      <c r="A417" s="13" t="str">
        <f t="shared" si="36"/>
        <v>OverStock</v>
      </c>
      <c r="B417" s="14" t="s">
        <v>288</v>
      </c>
      <c r="C417" s="15" t="s">
        <v>280</v>
      </c>
      <c r="D417" s="19">
        <f t="shared" si="37"/>
        <v>24</v>
      </c>
      <c r="E417" s="16">
        <f t="shared" si="38"/>
        <v>5.9</v>
      </c>
      <c r="F417" s="16">
        <f t="shared" si="39"/>
        <v>0</v>
      </c>
      <c r="G417" s="16">
        <f t="shared" si="40"/>
        <v>0</v>
      </c>
      <c r="H417" s="24" t="str">
        <f>IFERROR(VLOOKUP(B417,#REF!,8,FALSE),"")</f>
        <v/>
      </c>
      <c r="I417" s="17">
        <v>0</v>
      </c>
      <c r="J417" s="17">
        <v>0</v>
      </c>
      <c r="K417" s="24" t="str">
        <f>IFERROR(VLOOKUP(B417,#REF!,11,FALSE),"")</f>
        <v/>
      </c>
      <c r="L417" s="17">
        <v>27000</v>
      </c>
      <c r="M417" s="6" t="s">
        <v>748</v>
      </c>
      <c r="N417" s="18" t="str">
        <f>IFERROR(VLOOKUP(B417,#REF!,13,FALSE),"")</f>
        <v/>
      </c>
      <c r="O417" s="19" t="str">
        <f>IFERROR(VLOOKUP(B417,#REF!,14,FALSE),"")</f>
        <v/>
      </c>
      <c r="P417" s="19" t="str">
        <f>IFERROR(VLOOKUP(B417,#REF!,15,FALSE),"")</f>
        <v/>
      </c>
      <c r="Q417" s="19"/>
      <c r="R417" s="25" t="str">
        <f>IFERROR(VLOOKUP(B417,#REF!,16,FALSE),"")</f>
        <v/>
      </c>
      <c r="S417" s="17">
        <v>12000</v>
      </c>
      <c r="T417" s="17">
        <v>0</v>
      </c>
      <c r="U417" s="17">
        <v>15000</v>
      </c>
      <c r="V417" s="17">
        <v>0</v>
      </c>
      <c r="W417" s="20">
        <v>27000</v>
      </c>
      <c r="X417" s="16">
        <v>24</v>
      </c>
      <c r="Y417" s="21">
        <v>5.9</v>
      </c>
      <c r="Z417" s="20">
        <v>1125</v>
      </c>
      <c r="AA417" s="17">
        <v>4556</v>
      </c>
      <c r="AB417" s="22">
        <v>4</v>
      </c>
      <c r="AC417" s="23">
        <f t="shared" si="41"/>
        <v>150</v>
      </c>
      <c r="AD417" s="17">
        <v>3000</v>
      </c>
      <c r="AE417" s="17">
        <v>22000</v>
      </c>
      <c r="AF417" s="17">
        <v>16000</v>
      </c>
      <c r="AG417" s="17">
        <v>22000</v>
      </c>
      <c r="AH417" s="15" t="s">
        <v>42</v>
      </c>
    </row>
    <row r="418" spans="1:34">
      <c r="A418" s="13" t="str">
        <f t="shared" si="36"/>
        <v>OverStock</v>
      </c>
      <c r="B418" s="14" t="s">
        <v>291</v>
      </c>
      <c r="C418" s="15" t="s">
        <v>280</v>
      </c>
      <c r="D418" s="19">
        <f t="shared" si="37"/>
        <v>55.5</v>
      </c>
      <c r="E418" s="16" t="str">
        <f t="shared" si="38"/>
        <v>--</v>
      </c>
      <c r="F418" s="16">
        <f t="shared" si="39"/>
        <v>0</v>
      </c>
      <c r="G418" s="16" t="str">
        <f t="shared" si="40"/>
        <v>--</v>
      </c>
      <c r="H418" s="24" t="str">
        <f>IFERROR(VLOOKUP(B418,#REF!,8,FALSE),"")</f>
        <v/>
      </c>
      <c r="I418" s="17">
        <v>0</v>
      </c>
      <c r="J418" s="17">
        <v>0</v>
      </c>
      <c r="K418" s="24" t="str">
        <f>IFERROR(VLOOKUP(B418,#REF!,11,FALSE),"")</f>
        <v/>
      </c>
      <c r="L418" s="17">
        <v>936000</v>
      </c>
      <c r="M418" s="6" t="s">
        <v>753</v>
      </c>
      <c r="N418" s="18" t="str">
        <f>IFERROR(VLOOKUP(B418,#REF!,13,FALSE),"")</f>
        <v/>
      </c>
      <c r="O418" s="19" t="str">
        <f>IFERROR(VLOOKUP(B418,#REF!,14,FALSE),"")</f>
        <v/>
      </c>
      <c r="P418" s="19" t="str">
        <f>IFERROR(VLOOKUP(B418,#REF!,15,FALSE),"")</f>
        <v/>
      </c>
      <c r="Q418" s="19"/>
      <c r="R418" s="25" t="str">
        <f>IFERROR(VLOOKUP(B418,#REF!,16,FALSE),"")</f>
        <v/>
      </c>
      <c r="S418" s="17">
        <v>0</v>
      </c>
      <c r="T418" s="17">
        <v>933000</v>
      </c>
      <c r="U418" s="17">
        <v>3000</v>
      </c>
      <c r="V418" s="17">
        <v>0</v>
      </c>
      <c r="W418" s="20">
        <v>936000</v>
      </c>
      <c r="X418" s="16">
        <v>55.5</v>
      </c>
      <c r="Y418" s="21" t="s">
        <v>40</v>
      </c>
      <c r="Z418" s="20">
        <v>16875</v>
      </c>
      <c r="AA418" s="17" t="s">
        <v>40</v>
      </c>
      <c r="AB418" s="22" t="s">
        <v>41</v>
      </c>
      <c r="AC418" s="23" t="str">
        <f t="shared" si="41"/>
        <v>E</v>
      </c>
      <c r="AD418" s="17">
        <v>0</v>
      </c>
      <c r="AE418" s="17">
        <v>0</v>
      </c>
      <c r="AF418" s="17">
        <v>0</v>
      </c>
      <c r="AG418" s="17">
        <v>0</v>
      </c>
      <c r="AH418" s="15" t="s">
        <v>42</v>
      </c>
    </row>
    <row r="419" spans="1:34">
      <c r="A419" s="13" t="str">
        <f t="shared" si="36"/>
        <v>FCST</v>
      </c>
      <c r="B419" s="14" t="s">
        <v>295</v>
      </c>
      <c r="C419" s="15" t="s">
        <v>280</v>
      </c>
      <c r="D419" s="19" t="str">
        <f t="shared" si="37"/>
        <v>前八週無拉料</v>
      </c>
      <c r="E419" s="16">
        <f t="shared" si="38"/>
        <v>0</v>
      </c>
      <c r="F419" s="16" t="str">
        <f t="shared" si="39"/>
        <v>--</v>
      </c>
      <c r="G419" s="16">
        <f t="shared" si="40"/>
        <v>84.6</v>
      </c>
      <c r="H419" s="24" t="str">
        <f>IFERROR(VLOOKUP(B419,#REF!,8,FALSE),"")</f>
        <v/>
      </c>
      <c r="I419" s="17">
        <v>141000</v>
      </c>
      <c r="J419" s="17">
        <v>120000</v>
      </c>
      <c r="K419" s="24" t="str">
        <f>IFERROR(VLOOKUP(B419,#REF!,11,FALSE),"")</f>
        <v/>
      </c>
      <c r="L419" s="17">
        <v>0</v>
      </c>
      <c r="M419" s="6" t="s">
        <v>755</v>
      </c>
      <c r="N419" s="18" t="str">
        <f>IFERROR(VLOOKUP(B419,#REF!,13,FALSE),"")</f>
        <v/>
      </c>
      <c r="O419" s="19" t="str">
        <f>IFERROR(VLOOKUP(B419,#REF!,14,FALSE),"")</f>
        <v/>
      </c>
      <c r="P419" s="19" t="str">
        <f>IFERROR(VLOOKUP(B419,#REF!,15,FALSE),"")</f>
        <v/>
      </c>
      <c r="Q419" s="19"/>
      <c r="R419" s="25" t="str">
        <f>IFERROR(VLOOKUP(B419,#REF!,16,FALSE),"")</f>
        <v/>
      </c>
      <c r="S419" s="17">
        <v>0</v>
      </c>
      <c r="T419" s="17">
        <v>0</v>
      </c>
      <c r="U419" s="17">
        <v>0</v>
      </c>
      <c r="V419" s="17">
        <v>0</v>
      </c>
      <c r="W419" s="20">
        <v>141000</v>
      </c>
      <c r="X419" s="16" t="s">
        <v>40</v>
      </c>
      <c r="Y419" s="21">
        <v>84.6</v>
      </c>
      <c r="Z419" s="20">
        <v>0</v>
      </c>
      <c r="AA419" s="17">
        <v>1667</v>
      </c>
      <c r="AB419" s="22" t="s">
        <v>51</v>
      </c>
      <c r="AC419" s="23" t="str">
        <f t="shared" si="41"/>
        <v>F</v>
      </c>
      <c r="AD419" s="17">
        <v>3000</v>
      </c>
      <c r="AE419" s="17">
        <v>6000</v>
      </c>
      <c r="AF419" s="17">
        <v>21000</v>
      </c>
      <c r="AG419" s="17">
        <v>3000</v>
      </c>
      <c r="AH419" s="15" t="s">
        <v>42</v>
      </c>
    </row>
    <row r="420" spans="1:34">
      <c r="A420" s="13" t="str">
        <f t="shared" si="36"/>
        <v>Normal</v>
      </c>
      <c r="B420" s="14" t="s">
        <v>297</v>
      </c>
      <c r="C420" s="15" t="s">
        <v>280</v>
      </c>
      <c r="D420" s="19">
        <f t="shared" si="37"/>
        <v>0.7</v>
      </c>
      <c r="E420" s="16" t="str">
        <f t="shared" si="38"/>
        <v>--</v>
      </c>
      <c r="F420" s="16">
        <f t="shared" si="39"/>
        <v>0</v>
      </c>
      <c r="G420" s="16" t="str">
        <f t="shared" si="40"/>
        <v>--</v>
      </c>
      <c r="H420" s="24" t="str">
        <f>IFERROR(VLOOKUP(B420,#REF!,8,FALSE),"")</f>
        <v/>
      </c>
      <c r="I420" s="17">
        <v>0</v>
      </c>
      <c r="J420" s="17">
        <v>0</v>
      </c>
      <c r="K420" s="24" t="str">
        <f>IFERROR(VLOOKUP(B420,#REF!,11,FALSE),"")</f>
        <v/>
      </c>
      <c r="L420" s="17">
        <v>12000</v>
      </c>
      <c r="M420" s="6" t="s">
        <v>752</v>
      </c>
      <c r="N420" s="18" t="str">
        <f>IFERROR(VLOOKUP(B420,#REF!,13,FALSE),"")</f>
        <v/>
      </c>
      <c r="O420" s="19" t="str">
        <f>IFERROR(VLOOKUP(B420,#REF!,14,FALSE),"")</f>
        <v/>
      </c>
      <c r="P420" s="19" t="str">
        <f>IFERROR(VLOOKUP(B420,#REF!,15,FALSE),"")</f>
        <v/>
      </c>
      <c r="Q420" s="19"/>
      <c r="R420" s="25" t="str">
        <f>IFERROR(VLOOKUP(B420,#REF!,16,FALSE),"")</f>
        <v/>
      </c>
      <c r="S420" s="17">
        <v>0</v>
      </c>
      <c r="T420" s="17">
        <v>12000</v>
      </c>
      <c r="U420" s="17">
        <v>0</v>
      </c>
      <c r="V420" s="17">
        <v>0</v>
      </c>
      <c r="W420" s="20">
        <v>12000</v>
      </c>
      <c r="X420" s="16">
        <v>0.7</v>
      </c>
      <c r="Y420" s="21" t="s">
        <v>40</v>
      </c>
      <c r="Z420" s="20">
        <v>17625</v>
      </c>
      <c r="AA420" s="17">
        <v>0</v>
      </c>
      <c r="AB420" s="22" t="s">
        <v>41</v>
      </c>
      <c r="AC420" s="23" t="str">
        <f t="shared" si="41"/>
        <v>E</v>
      </c>
      <c r="AD420" s="17">
        <v>0</v>
      </c>
      <c r="AE420" s="17">
        <v>0</v>
      </c>
      <c r="AF420" s="17">
        <v>0</v>
      </c>
      <c r="AG420" s="17">
        <v>0</v>
      </c>
      <c r="AH420" s="15" t="s">
        <v>42</v>
      </c>
    </row>
    <row r="421" spans="1:34">
      <c r="A421" s="13" t="str">
        <f t="shared" si="36"/>
        <v>OverStock</v>
      </c>
      <c r="B421" s="14" t="s">
        <v>298</v>
      </c>
      <c r="C421" s="15" t="s">
        <v>280</v>
      </c>
      <c r="D421" s="19">
        <f t="shared" si="37"/>
        <v>4.3</v>
      </c>
      <c r="E421" s="16">
        <f t="shared" si="38"/>
        <v>3.9</v>
      </c>
      <c r="F421" s="16">
        <f t="shared" si="39"/>
        <v>49.3</v>
      </c>
      <c r="G421" s="16">
        <f t="shared" si="40"/>
        <v>45</v>
      </c>
      <c r="H421" s="24" t="str">
        <f>IFERROR(VLOOKUP(B421,#REF!,8,FALSE),"")</f>
        <v/>
      </c>
      <c r="I421" s="17">
        <v>8574000</v>
      </c>
      <c r="J421" s="17">
        <v>1920000</v>
      </c>
      <c r="K421" s="24" t="str">
        <f>IFERROR(VLOOKUP(B421,#REF!,11,FALSE),"")</f>
        <v/>
      </c>
      <c r="L421" s="17">
        <v>744000</v>
      </c>
      <c r="M421" s="6" t="s">
        <v>757</v>
      </c>
      <c r="N421" s="18" t="str">
        <f>IFERROR(VLOOKUP(B421,#REF!,13,FALSE),"")</f>
        <v/>
      </c>
      <c r="O421" s="19" t="str">
        <f>IFERROR(VLOOKUP(B421,#REF!,14,FALSE),"")</f>
        <v/>
      </c>
      <c r="P421" s="19" t="str">
        <f>IFERROR(VLOOKUP(B421,#REF!,15,FALSE),"")</f>
        <v/>
      </c>
      <c r="Q421" s="19"/>
      <c r="R421" s="25" t="str">
        <f>IFERROR(VLOOKUP(B421,#REF!,16,FALSE),"")</f>
        <v/>
      </c>
      <c r="S421" s="17">
        <v>240000</v>
      </c>
      <c r="T421" s="17">
        <v>135000</v>
      </c>
      <c r="U421" s="17">
        <v>369000</v>
      </c>
      <c r="V421" s="17">
        <v>0</v>
      </c>
      <c r="W421" s="20">
        <v>9318000</v>
      </c>
      <c r="X421" s="16">
        <v>53.6</v>
      </c>
      <c r="Y421" s="21">
        <v>48.9</v>
      </c>
      <c r="Z421" s="20">
        <v>174000</v>
      </c>
      <c r="AA421" s="17">
        <v>190473</v>
      </c>
      <c r="AB421" s="22">
        <v>1.1000000000000001</v>
      </c>
      <c r="AC421" s="23">
        <f t="shared" si="41"/>
        <v>100</v>
      </c>
      <c r="AD421" s="17">
        <v>447300</v>
      </c>
      <c r="AE421" s="17">
        <v>627114</v>
      </c>
      <c r="AF421" s="17">
        <v>982674</v>
      </c>
      <c r="AG421" s="17">
        <v>551304</v>
      </c>
      <c r="AH421" s="15" t="s">
        <v>42</v>
      </c>
    </row>
    <row r="422" spans="1:34">
      <c r="A422" s="13" t="str">
        <f t="shared" si="36"/>
        <v>Normal</v>
      </c>
      <c r="B422" s="14" t="s">
        <v>300</v>
      </c>
      <c r="C422" s="15" t="s">
        <v>280</v>
      </c>
      <c r="D422" s="19">
        <f t="shared" si="37"/>
        <v>3.7</v>
      </c>
      <c r="E422" s="16" t="str">
        <f t="shared" si="38"/>
        <v>--</v>
      </c>
      <c r="F422" s="16">
        <f t="shared" si="39"/>
        <v>3.8</v>
      </c>
      <c r="G422" s="16" t="str">
        <f t="shared" si="40"/>
        <v>--</v>
      </c>
      <c r="H422" s="24" t="str">
        <f>IFERROR(VLOOKUP(B422,#REF!,8,FALSE),"")</f>
        <v/>
      </c>
      <c r="I422" s="17">
        <v>210000</v>
      </c>
      <c r="J422" s="17">
        <v>210000</v>
      </c>
      <c r="K422" s="24" t="str">
        <f>IFERROR(VLOOKUP(B422,#REF!,11,FALSE),"")</f>
        <v/>
      </c>
      <c r="L422" s="17">
        <v>204000</v>
      </c>
      <c r="M422" s="6" t="s">
        <v>758</v>
      </c>
      <c r="N422" s="18" t="str">
        <f>IFERROR(VLOOKUP(B422,#REF!,13,FALSE),"")</f>
        <v/>
      </c>
      <c r="O422" s="19" t="str">
        <f>IFERROR(VLOOKUP(B422,#REF!,14,FALSE),"")</f>
        <v/>
      </c>
      <c r="P422" s="19" t="str">
        <f>IFERROR(VLOOKUP(B422,#REF!,15,FALSE),"")</f>
        <v/>
      </c>
      <c r="Q422" s="19"/>
      <c r="R422" s="25" t="str">
        <f>IFERROR(VLOOKUP(B422,#REF!,16,FALSE),"")</f>
        <v/>
      </c>
      <c r="S422" s="17">
        <v>0</v>
      </c>
      <c r="T422" s="17">
        <v>204000</v>
      </c>
      <c r="U422" s="17">
        <v>0</v>
      </c>
      <c r="V422" s="17">
        <v>0</v>
      </c>
      <c r="W422" s="20">
        <v>414000</v>
      </c>
      <c r="X422" s="16">
        <v>7.4</v>
      </c>
      <c r="Y422" s="21" t="s">
        <v>40</v>
      </c>
      <c r="Z422" s="20">
        <v>55875</v>
      </c>
      <c r="AA422" s="17" t="s">
        <v>40</v>
      </c>
      <c r="AB422" s="22" t="s">
        <v>41</v>
      </c>
      <c r="AC422" s="23" t="str">
        <f t="shared" si="41"/>
        <v>E</v>
      </c>
      <c r="AD422" s="17">
        <v>0</v>
      </c>
      <c r="AE422" s="17">
        <v>0</v>
      </c>
      <c r="AF422" s="17">
        <v>0</v>
      </c>
      <c r="AG422" s="17">
        <v>0</v>
      </c>
      <c r="AH422" s="15" t="s">
        <v>42</v>
      </c>
    </row>
    <row r="423" spans="1:34">
      <c r="A423" s="13" t="str">
        <f t="shared" si="36"/>
        <v>ZeroZero</v>
      </c>
      <c r="B423" s="14" t="s">
        <v>303</v>
      </c>
      <c r="C423" s="15" t="s">
        <v>280</v>
      </c>
      <c r="D423" s="19" t="str">
        <f t="shared" si="37"/>
        <v>前八週無拉料</v>
      </c>
      <c r="E423" s="16" t="str">
        <f t="shared" si="38"/>
        <v>--</v>
      </c>
      <c r="F423" s="16" t="str">
        <f t="shared" si="39"/>
        <v>--</v>
      </c>
      <c r="G423" s="16" t="str">
        <f t="shared" si="40"/>
        <v>--</v>
      </c>
      <c r="H423" s="24" t="str">
        <f>IFERROR(VLOOKUP(B423,#REF!,8,FALSE),"")</f>
        <v/>
      </c>
      <c r="I423" s="17">
        <v>0</v>
      </c>
      <c r="J423" s="17">
        <v>0</v>
      </c>
      <c r="K423" s="24" t="str">
        <f>IFERROR(VLOOKUP(B423,#REF!,11,FALSE),"")</f>
        <v/>
      </c>
      <c r="L423" s="17">
        <v>30000</v>
      </c>
      <c r="M423" s="6" t="s">
        <v>748</v>
      </c>
      <c r="N423" s="18" t="str">
        <f>IFERROR(VLOOKUP(B423,#REF!,13,FALSE),"")</f>
        <v/>
      </c>
      <c r="O423" s="19" t="str">
        <f>IFERROR(VLOOKUP(B423,#REF!,14,FALSE),"")</f>
        <v/>
      </c>
      <c r="P423" s="19" t="str">
        <f>IFERROR(VLOOKUP(B423,#REF!,15,FALSE),"")</f>
        <v/>
      </c>
      <c r="Q423" s="19"/>
      <c r="R423" s="25" t="str">
        <f>IFERROR(VLOOKUP(B423,#REF!,16,FALSE),"")</f>
        <v/>
      </c>
      <c r="S423" s="17">
        <v>0</v>
      </c>
      <c r="T423" s="17">
        <v>30000</v>
      </c>
      <c r="U423" s="17">
        <v>0</v>
      </c>
      <c r="V423" s="17">
        <v>0</v>
      </c>
      <c r="W423" s="20">
        <v>30000</v>
      </c>
      <c r="X423" s="16" t="s">
        <v>40</v>
      </c>
      <c r="Y423" s="21" t="s">
        <v>40</v>
      </c>
      <c r="Z423" s="20">
        <v>0</v>
      </c>
      <c r="AA423" s="17" t="s">
        <v>40</v>
      </c>
      <c r="AB423" s="22" t="s">
        <v>41</v>
      </c>
      <c r="AC423" s="23" t="str">
        <f t="shared" si="41"/>
        <v>E</v>
      </c>
      <c r="AD423" s="17">
        <v>0</v>
      </c>
      <c r="AE423" s="17">
        <v>0</v>
      </c>
      <c r="AF423" s="17">
        <v>0</v>
      </c>
      <c r="AG423" s="17">
        <v>0</v>
      </c>
      <c r="AH423" s="15" t="s">
        <v>42</v>
      </c>
    </row>
    <row r="424" spans="1:34">
      <c r="A424" s="13" t="str">
        <f t="shared" si="36"/>
        <v>Normal</v>
      </c>
      <c r="B424" s="14" t="s">
        <v>304</v>
      </c>
      <c r="C424" s="15" t="s">
        <v>280</v>
      </c>
      <c r="D424" s="19">
        <f t="shared" si="37"/>
        <v>12</v>
      </c>
      <c r="E424" s="16">
        <f t="shared" si="38"/>
        <v>3.7</v>
      </c>
      <c r="F424" s="16">
        <f t="shared" si="39"/>
        <v>0</v>
      </c>
      <c r="G424" s="16">
        <f t="shared" si="40"/>
        <v>0</v>
      </c>
      <c r="H424" s="24" t="str">
        <f>IFERROR(VLOOKUP(B424,#REF!,8,FALSE),"")</f>
        <v/>
      </c>
      <c r="I424" s="17">
        <v>0</v>
      </c>
      <c r="J424" s="17">
        <v>0</v>
      </c>
      <c r="K424" s="24" t="str">
        <f>IFERROR(VLOOKUP(B424,#REF!,11,FALSE),"")</f>
        <v/>
      </c>
      <c r="L424" s="17">
        <v>9000</v>
      </c>
      <c r="M424" s="6" t="s">
        <v>748</v>
      </c>
      <c r="N424" s="18" t="str">
        <f>IFERROR(VLOOKUP(B424,#REF!,13,FALSE),"")</f>
        <v/>
      </c>
      <c r="O424" s="19" t="str">
        <f>IFERROR(VLOOKUP(B424,#REF!,14,FALSE),"")</f>
        <v/>
      </c>
      <c r="P424" s="19" t="str">
        <f>IFERROR(VLOOKUP(B424,#REF!,15,FALSE),"")</f>
        <v/>
      </c>
      <c r="Q424" s="19"/>
      <c r="R424" s="25" t="str">
        <f>IFERROR(VLOOKUP(B424,#REF!,16,FALSE),"")</f>
        <v/>
      </c>
      <c r="S424" s="17">
        <v>0</v>
      </c>
      <c r="T424" s="17">
        <v>0</v>
      </c>
      <c r="U424" s="17">
        <v>9000</v>
      </c>
      <c r="V424" s="17">
        <v>0</v>
      </c>
      <c r="W424" s="20">
        <v>9000</v>
      </c>
      <c r="X424" s="16">
        <v>12</v>
      </c>
      <c r="Y424" s="21">
        <v>3.7</v>
      </c>
      <c r="Z424" s="20">
        <v>750</v>
      </c>
      <c r="AA424" s="17">
        <v>2411</v>
      </c>
      <c r="AB424" s="22">
        <v>3.2</v>
      </c>
      <c r="AC424" s="23">
        <f t="shared" si="41"/>
        <v>150</v>
      </c>
      <c r="AD424" s="17">
        <v>1100</v>
      </c>
      <c r="AE424" s="17">
        <v>8800</v>
      </c>
      <c r="AF424" s="17">
        <v>11900</v>
      </c>
      <c r="AG424" s="17">
        <v>14900</v>
      </c>
      <c r="AH424" s="15" t="s">
        <v>42</v>
      </c>
    </row>
    <row r="425" spans="1:34">
      <c r="A425" s="13" t="str">
        <f t="shared" si="36"/>
        <v>OverStock</v>
      </c>
      <c r="B425" s="14" t="s">
        <v>306</v>
      </c>
      <c r="C425" s="15" t="s">
        <v>280</v>
      </c>
      <c r="D425" s="19">
        <f t="shared" si="37"/>
        <v>0</v>
      </c>
      <c r="E425" s="16">
        <f t="shared" si="38"/>
        <v>0</v>
      </c>
      <c r="F425" s="16">
        <f t="shared" si="39"/>
        <v>356</v>
      </c>
      <c r="G425" s="16">
        <f t="shared" si="40"/>
        <v>56.6</v>
      </c>
      <c r="H425" s="24" t="str">
        <f>IFERROR(VLOOKUP(B425,#REF!,8,FALSE),"")</f>
        <v/>
      </c>
      <c r="I425" s="17">
        <v>1335000</v>
      </c>
      <c r="J425" s="17">
        <v>99000</v>
      </c>
      <c r="K425" s="24" t="str">
        <f>IFERROR(VLOOKUP(B425,#REF!,11,FALSE),"")</f>
        <v/>
      </c>
      <c r="L425" s="17">
        <v>0</v>
      </c>
      <c r="M425" s="6" t="s">
        <v>748</v>
      </c>
      <c r="N425" s="18" t="str">
        <f>IFERROR(VLOOKUP(B425,#REF!,13,FALSE),"")</f>
        <v/>
      </c>
      <c r="O425" s="19" t="str">
        <f>IFERROR(VLOOKUP(B425,#REF!,14,FALSE),"")</f>
        <v/>
      </c>
      <c r="P425" s="19" t="str">
        <f>IFERROR(VLOOKUP(B425,#REF!,15,FALSE),"")</f>
        <v/>
      </c>
      <c r="Q425" s="19"/>
      <c r="R425" s="25" t="str">
        <f>IFERROR(VLOOKUP(B425,#REF!,16,FALSE),"")</f>
        <v/>
      </c>
      <c r="S425" s="17">
        <v>0</v>
      </c>
      <c r="T425" s="17">
        <v>0</v>
      </c>
      <c r="U425" s="17">
        <v>0</v>
      </c>
      <c r="V425" s="17">
        <v>0</v>
      </c>
      <c r="W425" s="20">
        <v>1335000</v>
      </c>
      <c r="X425" s="16">
        <v>356</v>
      </c>
      <c r="Y425" s="21">
        <v>56.6</v>
      </c>
      <c r="Z425" s="20">
        <v>3750</v>
      </c>
      <c r="AA425" s="17">
        <v>23578</v>
      </c>
      <c r="AB425" s="22">
        <v>6.3</v>
      </c>
      <c r="AC425" s="23">
        <f t="shared" si="41"/>
        <v>150</v>
      </c>
      <c r="AD425" s="17">
        <v>16900</v>
      </c>
      <c r="AE425" s="17">
        <v>46100</v>
      </c>
      <c r="AF425" s="17">
        <v>149600</v>
      </c>
      <c r="AG425" s="17">
        <v>146300</v>
      </c>
      <c r="AH425" s="15" t="s">
        <v>42</v>
      </c>
    </row>
    <row r="426" spans="1:34">
      <c r="A426" s="13" t="str">
        <f t="shared" si="36"/>
        <v>OverStock</v>
      </c>
      <c r="B426" s="14" t="s">
        <v>307</v>
      </c>
      <c r="C426" s="15" t="s">
        <v>280</v>
      </c>
      <c r="D426" s="19">
        <f t="shared" si="37"/>
        <v>1.8</v>
      </c>
      <c r="E426" s="16" t="str">
        <f t="shared" si="38"/>
        <v>--</v>
      </c>
      <c r="F426" s="16">
        <f t="shared" si="39"/>
        <v>28</v>
      </c>
      <c r="G426" s="16" t="str">
        <f t="shared" si="40"/>
        <v>--</v>
      </c>
      <c r="H426" s="24" t="str">
        <f>IFERROR(VLOOKUP(B426,#REF!,8,FALSE),"")</f>
        <v/>
      </c>
      <c r="I426" s="17">
        <v>420000</v>
      </c>
      <c r="J426" s="17">
        <v>0</v>
      </c>
      <c r="K426" s="24" t="str">
        <f>IFERROR(VLOOKUP(B426,#REF!,11,FALSE),"")</f>
        <v/>
      </c>
      <c r="L426" s="17">
        <v>27000</v>
      </c>
      <c r="M426" s="6" t="s">
        <v>748</v>
      </c>
      <c r="N426" s="18" t="str">
        <f>IFERROR(VLOOKUP(B426,#REF!,13,FALSE),"")</f>
        <v/>
      </c>
      <c r="O426" s="19" t="str">
        <f>IFERROR(VLOOKUP(B426,#REF!,14,FALSE),"")</f>
        <v/>
      </c>
      <c r="P426" s="19" t="str">
        <f>IFERROR(VLOOKUP(B426,#REF!,15,FALSE),"")</f>
        <v/>
      </c>
      <c r="Q426" s="19"/>
      <c r="R426" s="25" t="str">
        <f>IFERROR(VLOOKUP(B426,#REF!,16,FALSE),"")</f>
        <v/>
      </c>
      <c r="S426" s="17">
        <v>0</v>
      </c>
      <c r="T426" s="17">
        <v>27000</v>
      </c>
      <c r="U426" s="17">
        <v>0</v>
      </c>
      <c r="V426" s="17">
        <v>0</v>
      </c>
      <c r="W426" s="20">
        <v>447000</v>
      </c>
      <c r="X426" s="16">
        <v>29.8</v>
      </c>
      <c r="Y426" s="21" t="s">
        <v>40</v>
      </c>
      <c r="Z426" s="20">
        <v>15000</v>
      </c>
      <c r="AA426" s="17" t="s">
        <v>40</v>
      </c>
      <c r="AB426" s="22" t="s">
        <v>41</v>
      </c>
      <c r="AC426" s="23" t="str">
        <f t="shared" si="41"/>
        <v>E</v>
      </c>
      <c r="AD426" s="17">
        <v>0</v>
      </c>
      <c r="AE426" s="17">
        <v>0</v>
      </c>
      <c r="AF426" s="17">
        <v>0</v>
      </c>
      <c r="AG426" s="17">
        <v>0</v>
      </c>
      <c r="AH426" s="15" t="s">
        <v>42</v>
      </c>
    </row>
    <row r="427" spans="1:34">
      <c r="A427" s="13" t="str">
        <f t="shared" si="36"/>
        <v>None</v>
      </c>
      <c r="B427" s="14" t="s">
        <v>308</v>
      </c>
      <c r="C427" s="15" t="s">
        <v>280</v>
      </c>
      <c r="D427" s="19" t="str">
        <f t="shared" si="37"/>
        <v>前八週無拉料</v>
      </c>
      <c r="E427" s="16" t="str">
        <f t="shared" si="38"/>
        <v>--</v>
      </c>
      <c r="F427" s="16" t="str">
        <f t="shared" si="39"/>
        <v>--</v>
      </c>
      <c r="G427" s="16" t="str">
        <f t="shared" si="40"/>
        <v>--</v>
      </c>
      <c r="H427" s="24" t="str">
        <f>IFERROR(VLOOKUP(B427,#REF!,8,FALSE),"")</f>
        <v/>
      </c>
      <c r="I427" s="17">
        <v>0</v>
      </c>
      <c r="J427" s="17">
        <v>0</v>
      </c>
      <c r="K427" s="24" t="str">
        <f>IFERROR(VLOOKUP(B427,#REF!,11,FALSE),"")</f>
        <v/>
      </c>
      <c r="L427" s="17">
        <v>0</v>
      </c>
      <c r="M427" s="6" t="s">
        <v>748</v>
      </c>
      <c r="N427" s="18" t="str">
        <f>IFERROR(VLOOKUP(B427,#REF!,13,FALSE),"")</f>
        <v/>
      </c>
      <c r="O427" s="19" t="str">
        <f>IFERROR(VLOOKUP(B427,#REF!,14,FALSE),"")</f>
        <v/>
      </c>
      <c r="P427" s="19" t="str">
        <f>IFERROR(VLOOKUP(B427,#REF!,15,FALSE),"")</f>
        <v/>
      </c>
      <c r="Q427" s="19"/>
      <c r="R427" s="25" t="str">
        <f>IFERROR(VLOOKUP(B427,#REF!,16,FALSE),"")</f>
        <v/>
      </c>
      <c r="S427" s="17">
        <v>0</v>
      </c>
      <c r="T427" s="17">
        <v>0</v>
      </c>
      <c r="U427" s="17">
        <v>0</v>
      </c>
      <c r="V427" s="17">
        <v>0</v>
      </c>
      <c r="W427" s="20">
        <v>0</v>
      </c>
      <c r="X427" s="16" t="s">
        <v>40</v>
      </c>
      <c r="Y427" s="21" t="s">
        <v>40</v>
      </c>
      <c r="Z427" s="20">
        <v>0</v>
      </c>
      <c r="AA427" s="17" t="s">
        <v>40</v>
      </c>
      <c r="AB427" s="22" t="s">
        <v>41</v>
      </c>
      <c r="AC427" s="23" t="str">
        <f t="shared" si="41"/>
        <v>E</v>
      </c>
      <c r="AD427" s="17">
        <v>0</v>
      </c>
      <c r="AE427" s="17">
        <v>0</v>
      </c>
      <c r="AF427" s="17">
        <v>0</v>
      </c>
      <c r="AG427" s="17">
        <v>0</v>
      </c>
      <c r="AH427" s="15" t="s">
        <v>42</v>
      </c>
    </row>
    <row r="428" spans="1:34">
      <c r="A428" s="13" t="str">
        <f t="shared" si="36"/>
        <v>ZeroZero</v>
      </c>
      <c r="B428" s="14" t="s">
        <v>775</v>
      </c>
      <c r="C428" s="15" t="s">
        <v>280</v>
      </c>
      <c r="D428" s="19" t="str">
        <f t="shared" si="37"/>
        <v>前八週無拉料</v>
      </c>
      <c r="E428" s="16" t="str">
        <f t="shared" si="38"/>
        <v>--</v>
      </c>
      <c r="F428" s="16" t="str">
        <f t="shared" si="39"/>
        <v>--</v>
      </c>
      <c r="G428" s="16" t="str">
        <f t="shared" si="40"/>
        <v>--</v>
      </c>
      <c r="H428" s="24" t="str">
        <f>IFERROR(VLOOKUP(B428,#REF!,8,FALSE),"")</f>
        <v/>
      </c>
      <c r="I428" s="17">
        <v>63000</v>
      </c>
      <c r="J428" s="17">
        <v>15000</v>
      </c>
      <c r="K428" s="24" t="str">
        <f>IFERROR(VLOOKUP(B428,#REF!,11,FALSE),"")</f>
        <v/>
      </c>
      <c r="L428" s="17">
        <v>0</v>
      </c>
      <c r="M428" s="6" t="s">
        <v>752</v>
      </c>
      <c r="N428" s="18" t="str">
        <f>IFERROR(VLOOKUP(B428,#REF!,13,FALSE),"")</f>
        <v/>
      </c>
      <c r="O428" s="19" t="str">
        <f>IFERROR(VLOOKUP(B428,#REF!,14,FALSE),"")</f>
        <v/>
      </c>
      <c r="P428" s="19" t="str">
        <f>IFERROR(VLOOKUP(B428,#REF!,15,FALSE),"")</f>
        <v/>
      </c>
      <c r="Q428" s="19"/>
      <c r="R428" s="25" t="str">
        <f>IFERROR(VLOOKUP(B428,#REF!,16,FALSE),"")</f>
        <v/>
      </c>
      <c r="S428" s="17">
        <v>0</v>
      </c>
      <c r="T428" s="17">
        <v>0</v>
      </c>
      <c r="U428" s="17">
        <v>0</v>
      </c>
      <c r="V428" s="17">
        <v>0</v>
      </c>
      <c r="W428" s="20">
        <v>63000</v>
      </c>
      <c r="X428" s="16" t="s">
        <v>40</v>
      </c>
      <c r="Y428" s="21" t="s">
        <v>40</v>
      </c>
      <c r="Z428" s="20">
        <v>0</v>
      </c>
      <c r="AA428" s="17" t="s">
        <v>40</v>
      </c>
      <c r="AB428" s="22" t="s">
        <v>41</v>
      </c>
      <c r="AC428" s="23" t="str">
        <f t="shared" si="41"/>
        <v>E</v>
      </c>
      <c r="AD428" s="17">
        <v>0</v>
      </c>
      <c r="AE428" s="17">
        <v>0</v>
      </c>
      <c r="AF428" s="17">
        <v>0</v>
      </c>
      <c r="AG428" s="17">
        <v>0</v>
      </c>
      <c r="AH428" s="15" t="s">
        <v>42</v>
      </c>
    </row>
    <row r="429" spans="1:34">
      <c r="A429" s="13" t="str">
        <f t="shared" si="36"/>
        <v>Normal</v>
      </c>
      <c r="B429" s="14" t="s">
        <v>310</v>
      </c>
      <c r="C429" s="15" t="s">
        <v>280</v>
      </c>
      <c r="D429" s="19">
        <f t="shared" si="37"/>
        <v>16</v>
      </c>
      <c r="E429" s="16" t="str">
        <f t="shared" si="38"/>
        <v>--</v>
      </c>
      <c r="F429" s="16">
        <f t="shared" si="39"/>
        <v>0</v>
      </c>
      <c r="G429" s="16" t="str">
        <f t="shared" si="40"/>
        <v>--</v>
      </c>
      <c r="H429" s="24" t="str">
        <f>IFERROR(VLOOKUP(B429,#REF!,8,FALSE),"")</f>
        <v/>
      </c>
      <c r="I429" s="17">
        <v>0</v>
      </c>
      <c r="J429" s="17">
        <v>0</v>
      </c>
      <c r="K429" s="24" t="str">
        <f>IFERROR(VLOOKUP(B429,#REF!,11,FALSE),"")</f>
        <v/>
      </c>
      <c r="L429" s="17">
        <v>6000</v>
      </c>
      <c r="M429" s="6" t="s">
        <v>748</v>
      </c>
      <c r="N429" s="18" t="str">
        <f>IFERROR(VLOOKUP(B429,#REF!,13,FALSE),"")</f>
        <v/>
      </c>
      <c r="O429" s="19" t="str">
        <f>IFERROR(VLOOKUP(B429,#REF!,14,FALSE),"")</f>
        <v/>
      </c>
      <c r="P429" s="19" t="str">
        <f>IFERROR(VLOOKUP(B429,#REF!,15,FALSE),"")</f>
        <v/>
      </c>
      <c r="Q429" s="19"/>
      <c r="R429" s="25" t="str">
        <f>IFERROR(VLOOKUP(B429,#REF!,16,FALSE),"")</f>
        <v/>
      </c>
      <c r="S429" s="17">
        <v>0</v>
      </c>
      <c r="T429" s="17">
        <v>6000</v>
      </c>
      <c r="U429" s="17">
        <v>0</v>
      </c>
      <c r="V429" s="17">
        <v>0</v>
      </c>
      <c r="W429" s="20">
        <v>6000</v>
      </c>
      <c r="X429" s="16">
        <v>16</v>
      </c>
      <c r="Y429" s="21" t="s">
        <v>40</v>
      </c>
      <c r="Z429" s="20">
        <v>375</v>
      </c>
      <c r="AA429" s="17" t="s">
        <v>40</v>
      </c>
      <c r="AB429" s="22" t="s">
        <v>41</v>
      </c>
      <c r="AC429" s="23" t="str">
        <f t="shared" si="41"/>
        <v>E</v>
      </c>
      <c r="AD429" s="17">
        <v>0</v>
      </c>
      <c r="AE429" s="17">
        <v>0</v>
      </c>
      <c r="AF429" s="17">
        <v>0</v>
      </c>
      <c r="AG429" s="17">
        <v>0</v>
      </c>
      <c r="AH429" s="15" t="s">
        <v>42</v>
      </c>
    </row>
    <row r="430" spans="1:34">
      <c r="A430" s="13" t="str">
        <f t="shared" si="36"/>
        <v>OverStock</v>
      </c>
      <c r="B430" s="14" t="s">
        <v>311</v>
      </c>
      <c r="C430" s="15" t="s">
        <v>280</v>
      </c>
      <c r="D430" s="19">
        <f t="shared" si="37"/>
        <v>4.4000000000000004</v>
      </c>
      <c r="E430" s="16">
        <f t="shared" si="38"/>
        <v>3.7</v>
      </c>
      <c r="F430" s="16">
        <f t="shared" si="39"/>
        <v>16.399999999999999</v>
      </c>
      <c r="G430" s="16">
        <f t="shared" si="40"/>
        <v>13.6</v>
      </c>
      <c r="H430" s="24" t="str">
        <f>IFERROR(VLOOKUP(B430,#REF!,8,FALSE),"")</f>
        <v/>
      </c>
      <c r="I430" s="17">
        <v>111000</v>
      </c>
      <c r="J430" s="17">
        <v>78000</v>
      </c>
      <c r="K430" s="24" t="str">
        <f>IFERROR(VLOOKUP(B430,#REF!,11,FALSE),"")</f>
        <v/>
      </c>
      <c r="L430" s="17">
        <v>30000</v>
      </c>
      <c r="M430" s="6" t="s">
        <v>748</v>
      </c>
      <c r="N430" s="18" t="str">
        <f>IFERROR(VLOOKUP(B430,#REF!,13,FALSE),"")</f>
        <v/>
      </c>
      <c r="O430" s="19" t="str">
        <f>IFERROR(VLOOKUP(B430,#REF!,14,FALSE),"")</f>
        <v/>
      </c>
      <c r="P430" s="19" t="str">
        <f>IFERROR(VLOOKUP(B430,#REF!,15,FALSE),"")</f>
        <v/>
      </c>
      <c r="Q430" s="19"/>
      <c r="R430" s="25" t="str">
        <f>IFERROR(VLOOKUP(B430,#REF!,16,FALSE),"")</f>
        <v/>
      </c>
      <c r="S430" s="17">
        <v>0</v>
      </c>
      <c r="T430" s="17">
        <v>0</v>
      </c>
      <c r="U430" s="17">
        <v>30000</v>
      </c>
      <c r="V430" s="17">
        <v>0</v>
      </c>
      <c r="W430" s="20">
        <v>141000</v>
      </c>
      <c r="X430" s="16">
        <v>20.9</v>
      </c>
      <c r="Y430" s="21">
        <v>17.3</v>
      </c>
      <c r="Z430" s="20">
        <v>6750</v>
      </c>
      <c r="AA430" s="17">
        <v>8156</v>
      </c>
      <c r="AB430" s="22">
        <v>1.2</v>
      </c>
      <c r="AC430" s="23">
        <f t="shared" si="41"/>
        <v>100</v>
      </c>
      <c r="AD430" s="17">
        <v>8400</v>
      </c>
      <c r="AE430" s="17">
        <v>40100</v>
      </c>
      <c r="AF430" s="17">
        <v>27000</v>
      </c>
      <c r="AG430" s="17">
        <v>22800</v>
      </c>
      <c r="AH430" s="15" t="s">
        <v>42</v>
      </c>
    </row>
    <row r="431" spans="1:34">
      <c r="A431" s="13" t="str">
        <f t="shared" si="36"/>
        <v>OverStock</v>
      </c>
      <c r="B431" s="14" t="s">
        <v>313</v>
      </c>
      <c r="C431" s="15" t="s">
        <v>280</v>
      </c>
      <c r="D431" s="19">
        <f t="shared" si="37"/>
        <v>25.8</v>
      </c>
      <c r="E431" s="16">
        <f t="shared" si="38"/>
        <v>26.1</v>
      </c>
      <c r="F431" s="16">
        <f t="shared" si="39"/>
        <v>0</v>
      </c>
      <c r="G431" s="16">
        <f t="shared" si="40"/>
        <v>0</v>
      </c>
      <c r="H431" s="24" t="str">
        <f>IFERROR(VLOOKUP(B431,#REF!,8,FALSE),"")</f>
        <v/>
      </c>
      <c r="I431" s="17">
        <v>0</v>
      </c>
      <c r="J431" s="17">
        <v>0</v>
      </c>
      <c r="K431" s="24" t="str">
        <f>IFERROR(VLOOKUP(B431,#REF!,11,FALSE),"")</f>
        <v/>
      </c>
      <c r="L431" s="17">
        <v>87000</v>
      </c>
      <c r="M431" s="6" t="s">
        <v>758</v>
      </c>
      <c r="N431" s="18" t="str">
        <f>IFERROR(VLOOKUP(B431,#REF!,13,FALSE),"")</f>
        <v/>
      </c>
      <c r="O431" s="19" t="str">
        <f>IFERROR(VLOOKUP(B431,#REF!,14,FALSE),"")</f>
        <v/>
      </c>
      <c r="P431" s="19" t="str">
        <f>IFERROR(VLOOKUP(B431,#REF!,15,FALSE),"")</f>
        <v/>
      </c>
      <c r="Q431" s="19"/>
      <c r="R431" s="25" t="str">
        <f>IFERROR(VLOOKUP(B431,#REF!,16,FALSE),"")</f>
        <v/>
      </c>
      <c r="S431" s="17">
        <v>0</v>
      </c>
      <c r="T431" s="17">
        <v>87000</v>
      </c>
      <c r="U431" s="17">
        <v>0</v>
      </c>
      <c r="V431" s="17">
        <v>0</v>
      </c>
      <c r="W431" s="20">
        <v>87000</v>
      </c>
      <c r="X431" s="16">
        <v>25.8</v>
      </c>
      <c r="Y431" s="21">
        <v>26.1</v>
      </c>
      <c r="Z431" s="20">
        <v>3375</v>
      </c>
      <c r="AA431" s="17">
        <v>3333</v>
      </c>
      <c r="AB431" s="22">
        <v>1</v>
      </c>
      <c r="AC431" s="23">
        <f t="shared" si="41"/>
        <v>100</v>
      </c>
      <c r="AD431" s="17">
        <v>30000</v>
      </c>
      <c r="AE431" s="17">
        <v>0</v>
      </c>
      <c r="AF431" s="17">
        <v>0</v>
      </c>
      <c r="AG431" s="17">
        <v>0</v>
      </c>
      <c r="AH431" s="15" t="s">
        <v>42</v>
      </c>
    </row>
    <row r="432" spans="1:34">
      <c r="A432" s="13" t="str">
        <f t="shared" si="36"/>
        <v>OverStock</v>
      </c>
      <c r="B432" s="14" t="s">
        <v>314</v>
      </c>
      <c r="C432" s="15" t="s">
        <v>280</v>
      </c>
      <c r="D432" s="19">
        <f t="shared" si="37"/>
        <v>0.8</v>
      </c>
      <c r="E432" s="16">
        <f t="shared" si="38"/>
        <v>4.8</v>
      </c>
      <c r="F432" s="16">
        <f t="shared" si="39"/>
        <v>25.8</v>
      </c>
      <c r="G432" s="16">
        <f t="shared" si="40"/>
        <v>150.6</v>
      </c>
      <c r="H432" s="24" t="str">
        <f>IFERROR(VLOOKUP(B432,#REF!,8,FALSE),"")</f>
        <v/>
      </c>
      <c r="I432" s="17">
        <v>1227000</v>
      </c>
      <c r="J432" s="17">
        <v>255000</v>
      </c>
      <c r="K432" s="24" t="str">
        <f>IFERROR(VLOOKUP(B432,#REF!,11,FALSE),"")</f>
        <v/>
      </c>
      <c r="L432" s="17">
        <v>39000</v>
      </c>
      <c r="M432" s="6" t="s">
        <v>751</v>
      </c>
      <c r="N432" s="18" t="str">
        <f>IFERROR(VLOOKUP(B432,#REF!,13,FALSE),"")</f>
        <v/>
      </c>
      <c r="O432" s="19" t="str">
        <f>IFERROR(VLOOKUP(B432,#REF!,14,FALSE),"")</f>
        <v/>
      </c>
      <c r="P432" s="19" t="str">
        <f>IFERROR(VLOOKUP(B432,#REF!,15,FALSE),"")</f>
        <v/>
      </c>
      <c r="Q432" s="19"/>
      <c r="R432" s="25" t="str">
        <f>IFERROR(VLOOKUP(B432,#REF!,16,FALSE),"")</f>
        <v/>
      </c>
      <c r="S432" s="17">
        <v>0</v>
      </c>
      <c r="T432" s="17">
        <v>0</v>
      </c>
      <c r="U432" s="17">
        <v>39000</v>
      </c>
      <c r="V432" s="17">
        <v>0</v>
      </c>
      <c r="W432" s="20">
        <v>1266000</v>
      </c>
      <c r="X432" s="16">
        <v>26.6</v>
      </c>
      <c r="Y432" s="21">
        <v>155.4</v>
      </c>
      <c r="Z432" s="20">
        <v>47625</v>
      </c>
      <c r="AA432" s="17">
        <v>8146</v>
      </c>
      <c r="AB432" s="22">
        <v>0.2</v>
      </c>
      <c r="AC432" s="23">
        <f t="shared" si="41"/>
        <v>50</v>
      </c>
      <c r="AD432" s="17">
        <v>392</v>
      </c>
      <c r="AE432" s="17">
        <v>72920</v>
      </c>
      <c r="AF432" s="17">
        <v>0</v>
      </c>
      <c r="AG432" s="17">
        <v>44000</v>
      </c>
      <c r="AH432" s="15" t="s">
        <v>42</v>
      </c>
    </row>
    <row r="433" spans="1:34">
      <c r="A433" s="13" t="str">
        <f t="shared" si="36"/>
        <v>OverStock</v>
      </c>
      <c r="B433" s="14" t="s">
        <v>315</v>
      </c>
      <c r="C433" s="15" t="s">
        <v>280</v>
      </c>
      <c r="D433" s="19">
        <f t="shared" si="37"/>
        <v>21.3</v>
      </c>
      <c r="E433" s="16" t="str">
        <f t="shared" si="38"/>
        <v>--</v>
      </c>
      <c r="F433" s="16">
        <f t="shared" si="39"/>
        <v>0</v>
      </c>
      <c r="G433" s="16" t="str">
        <f t="shared" si="40"/>
        <v>--</v>
      </c>
      <c r="H433" s="24" t="str">
        <f>IFERROR(VLOOKUP(B433,#REF!,8,FALSE),"")</f>
        <v/>
      </c>
      <c r="I433" s="17">
        <v>0</v>
      </c>
      <c r="J433" s="17">
        <v>0</v>
      </c>
      <c r="K433" s="24" t="str">
        <f>IFERROR(VLOOKUP(B433,#REF!,11,FALSE),"")</f>
        <v/>
      </c>
      <c r="L433" s="17">
        <v>48000</v>
      </c>
      <c r="M433" s="6" t="s">
        <v>751</v>
      </c>
      <c r="N433" s="18" t="str">
        <f>IFERROR(VLOOKUP(B433,#REF!,13,FALSE),"")</f>
        <v/>
      </c>
      <c r="O433" s="19" t="str">
        <f>IFERROR(VLOOKUP(B433,#REF!,14,FALSE),"")</f>
        <v/>
      </c>
      <c r="P433" s="19" t="str">
        <f>IFERROR(VLOOKUP(B433,#REF!,15,FALSE),"")</f>
        <v/>
      </c>
      <c r="Q433" s="19"/>
      <c r="R433" s="25" t="str">
        <f>IFERROR(VLOOKUP(B433,#REF!,16,FALSE),"")</f>
        <v/>
      </c>
      <c r="S433" s="17">
        <v>0</v>
      </c>
      <c r="T433" s="17">
        <v>45000</v>
      </c>
      <c r="U433" s="17">
        <v>3000</v>
      </c>
      <c r="V433" s="17">
        <v>0</v>
      </c>
      <c r="W433" s="20">
        <v>48000</v>
      </c>
      <c r="X433" s="16">
        <v>21.3</v>
      </c>
      <c r="Y433" s="21" t="s">
        <v>40</v>
      </c>
      <c r="Z433" s="20">
        <v>2250</v>
      </c>
      <c r="AA433" s="17" t="s">
        <v>40</v>
      </c>
      <c r="AB433" s="22" t="s">
        <v>41</v>
      </c>
      <c r="AC433" s="23" t="str">
        <f t="shared" si="41"/>
        <v>E</v>
      </c>
      <c r="AD433" s="17">
        <v>0</v>
      </c>
      <c r="AE433" s="17">
        <v>0</v>
      </c>
      <c r="AF433" s="17">
        <v>0</v>
      </c>
      <c r="AG433" s="17">
        <v>0</v>
      </c>
      <c r="AH433" s="15" t="s">
        <v>42</v>
      </c>
    </row>
    <row r="434" spans="1:34">
      <c r="A434" s="13" t="str">
        <f t="shared" si="36"/>
        <v>OverStock</v>
      </c>
      <c r="B434" s="14" t="s">
        <v>316</v>
      </c>
      <c r="C434" s="15" t="s">
        <v>280</v>
      </c>
      <c r="D434" s="19">
        <f t="shared" si="37"/>
        <v>17.8</v>
      </c>
      <c r="E434" s="16">
        <f t="shared" si="38"/>
        <v>13.8</v>
      </c>
      <c r="F434" s="16">
        <f t="shared" si="39"/>
        <v>0</v>
      </c>
      <c r="G434" s="16">
        <f t="shared" si="40"/>
        <v>0</v>
      </c>
      <c r="H434" s="24" t="str">
        <f>IFERROR(VLOOKUP(B434,#REF!,8,FALSE),"")</f>
        <v/>
      </c>
      <c r="I434" s="17">
        <v>0</v>
      </c>
      <c r="J434" s="17">
        <v>0</v>
      </c>
      <c r="K434" s="24" t="str">
        <f>IFERROR(VLOOKUP(B434,#REF!,11,FALSE),"")</f>
        <v/>
      </c>
      <c r="L434" s="17">
        <v>60000</v>
      </c>
      <c r="M434" s="6" t="s">
        <v>751</v>
      </c>
      <c r="N434" s="18" t="str">
        <f>IFERROR(VLOOKUP(B434,#REF!,13,FALSE),"")</f>
        <v/>
      </c>
      <c r="O434" s="19" t="str">
        <f>IFERROR(VLOOKUP(B434,#REF!,14,FALSE),"")</f>
        <v/>
      </c>
      <c r="P434" s="19" t="str">
        <f>IFERROR(VLOOKUP(B434,#REF!,15,FALSE),"")</f>
        <v/>
      </c>
      <c r="Q434" s="19"/>
      <c r="R434" s="25" t="str">
        <f>IFERROR(VLOOKUP(B434,#REF!,16,FALSE),"")</f>
        <v/>
      </c>
      <c r="S434" s="17">
        <v>0</v>
      </c>
      <c r="T434" s="17">
        <v>60000</v>
      </c>
      <c r="U434" s="17">
        <v>0</v>
      </c>
      <c r="V434" s="17">
        <v>0</v>
      </c>
      <c r="W434" s="20">
        <v>60000</v>
      </c>
      <c r="X434" s="16">
        <v>17.8</v>
      </c>
      <c r="Y434" s="21">
        <v>13.8</v>
      </c>
      <c r="Z434" s="20">
        <v>3375</v>
      </c>
      <c r="AA434" s="17">
        <v>4333</v>
      </c>
      <c r="AB434" s="22">
        <v>1.3</v>
      </c>
      <c r="AC434" s="23">
        <f t="shared" si="41"/>
        <v>100</v>
      </c>
      <c r="AD434" s="17">
        <v>12000</v>
      </c>
      <c r="AE434" s="17">
        <v>21000</v>
      </c>
      <c r="AF434" s="17">
        <v>6000</v>
      </c>
      <c r="AG434" s="17">
        <v>15000</v>
      </c>
      <c r="AH434" s="15" t="s">
        <v>42</v>
      </c>
    </row>
    <row r="435" spans="1:34">
      <c r="A435" s="13" t="str">
        <f t="shared" si="36"/>
        <v>OverStock</v>
      </c>
      <c r="B435" s="14" t="s">
        <v>320</v>
      </c>
      <c r="C435" s="15" t="s">
        <v>280</v>
      </c>
      <c r="D435" s="19">
        <f t="shared" si="37"/>
        <v>24.5</v>
      </c>
      <c r="E435" s="16" t="str">
        <f t="shared" si="38"/>
        <v>--</v>
      </c>
      <c r="F435" s="16">
        <f t="shared" si="39"/>
        <v>0</v>
      </c>
      <c r="G435" s="16" t="str">
        <f t="shared" si="40"/>
        <v>--</v>
      </c>
      <c r="H435" s="24" t="str">
        <f>IFERROR(VLOOKUP(B435,#REF!,8,FALSE),"")</f>
        <v/>
      </c>
      <c r="I435" s="17">
        <v>0</v>
      </c>
      <c r="J435" s="17">
        <v>0</v>
      </c>
      <c r="K435" s="24" t="str">
        <f>IFERROR(VLOOKUP(B435,#REF!,11,FALSE),"")</f>
        <v/>
      </c>
      <c r="L435" s="17">
        <v>276000</v>
      </c>
      <c r="M435" s="6" t="s">
        <v>748</v>
      </c>
      <c r="N435" s="18" t="str">
        <f>IFERROR(VLOOKUP(B435,#REF!,13,FALSE),"")</f>
        <v/>
      </c>
      <c r="O435" s="19" t="str">
        <f>IFERROR(VLOOKUP(B435,#REF!,14,FALSE),"")</f>
        <v/>
      </c>
      <c r="P435" s="19" t="str">
        <f>IFERROR(VLOOKUP(B435,#REF!,15,FALSE),"")</f>
        <v/>
      </c>
      <c r="Q435" s="19"/>
      <c r="R435" s="25" t="str">
        <f>IFERROR(VLOOKUP(B435,#REF!,16,FALSE),"")</f>
        <v/>
      </c>
      <c r="S435" s="17">
        <v>0</v>
      </c>
      <c r="T435" s="17">
        <v>276000</v>
      </c>
      <c r="U435" s="17">
        <v>0</v>
      </c>
      <c r="V435" s="17">
        <v>0</v>
      </c>
      <c r="W435" s="20">
        <v>276000</v>
      </c>
      <c r="X435" s="16">
        <v>24.5</v>
      </c>
      <c r="Y435" s="21" t="s">
        <v>40</v>
      </c>
      <c r="Z435" s="20">
        <v>11250</v>
      </c>
      <c r="AA435" s="17" t="s">
        <v>40</v>
      </c>
      <c r="AB435" s="22" t="s">
        <v>41</v>
      </c>
      <c r="AC435" s="23" t="str">
        <f t="shared" si="41"/>
        <v>E</v>
      </c>
      <c r="AD435" s="17">
        <v>0</v>
      </c>
      <c r="AE435" s="17">
        <v>0</v>
      </c>
      <c r="AF435" s="17">
        <v>0</v>
      </c>
      <c r="AG435" s="17">
        <v>0</v>
      </c>
      <c r="AH435" s="15" t="s">
        <v>42</v>
      </c>
    </row>
    <row r="436" spans="1:34">
      <c r="A436" s="13" t="str">
        <f t="shared" si="36"/>
        <v>Normal</v>
      </c>
      <c r="B436" s="14" t="s">
        <v>321</v>
      </c>
      <c r="C436" s="15" t="s">
        <v>280</v>
      </c>
      <c r="D436" s="19">
        <f t="shared" si="37"/>
        <v>3.9</v>
      </c>
      <c r="E436" s="16">
        <f t="shared" si="38"/>
        <v>2.9</v>
      </c>
      <c r="F436" s="16">
        <f t="shared" si="39"/>
        <v>0</v>
      </c>
      <c r="G436" s="16">
        <f t="shared" si="40"/>
        <v>0</v>
      </c>
      <c r="H436" s="24" t="str">
        <f>IFERROR(VLOOKUP(B436,#REF!,8,FALSE),"")</f>
        <v/>
      </c>
      <c r="I436" s="17">
        <v>0</v>
      </c>
      <c r="J436" s="17">
        <v>0</v>
      </c>
      <c r="K436" s="24" t="str">
        <f>IFERROR(VLOOKUP(B436,#REF!,11,FALSE),"")</f>
        <v/>
      </c>
      <c r="L436" s="17">
        <v>68000</v>
      </c>
      <c r="M436" s="6" t="s">
        <v>755</v>
      </c>
      <c r="N436" s="18" t="str">
        <f>IFERROR(VLOOKUP(B436,#REF!,13,FALSE),"")</f>
        <v/>
      </c>
      <c r="O436" s="19" t="str">
        <f>IFERROR(VLOOKUP(B436,#REF!,14,FALSE),"")</f>
        <v/>
      </c>
      <c r="P436" s="19" t="str">
        <f>IFERROR(VLOOKUP(B436,#REF!,15,FALSE),"")</f>
        <v/>
      </c>
      <c r="Q436" s="19"/>
      <c r="R436" s="25" t="str">
        <f>IFERROR(VLOOKUP(B436,#REF!,16,FALSE),"")</f>
        <v/>
      </c>
      <c r="S436" s="17">
        <v>0</v>
      </c>
      <c r="T436" s="17">
        <v>41000</v>
      </c>
      <c r="U436" s="17">
        <v>27000</v>
      </c>
      <c r="V436" s="17">
        <v>0</v>
      </c>
      <c r="W436" s="20">
        <v>68000</v>
      </c>
      <c r="X436" s="16">
        <v>3.9</v>
      </c>
      <c r="Y436" s="21">
        <v>2.9</v>
      </c>
      <c r="Z436" s="20">
        <v>17625</v>
      </c>
      <c r="AA436" s="17">
        <v>23344</v>
      </c>
      <c r="AB436" s="22">
        <v>1.3</v>
      </c>
      <c r="AC436" s="23">
        <f t="shared" si="41"/>
        <v>100</v>
      </c>
      <c r="AD436" s="17">
        <v>0</v>
      </c>
      <c r="AE436" s="17">
        <v>210000</v>
      </c>
      <c r="AF436" s="17">
        <v>100</v>
      </c>
      <c r="AG436" s="17">
        <v>100</v>
      </c>
      <c r="AH436" s="15" t="s">
        <v>42</v>
      </c>
    </row>
    <row r="437" spans="1:34">
      <c r="A437" s="13" t="str">
        <f t="shared" si="36"/>
        <v>OverStock</v>
      </c>
      <c r="B437" s="14" t="s">
        <v>323</v>
      </c>
      <c r="C437" s="15" t="s">
        <v>280</v>
      </c>
      <c r="D437" s="19">
        <f t="shared" si="37"/>
        <v>6</v>
      </c>
      <c r="E437" s="16">
        <f t="shared" si="38"/>
        <v>22.4</v>
      </c>
      <c r="F437" s="16">
        <f t="shared" si="39"/>
        <v>19.7</v>
      </c>
      <c r="G437" s="16">
        <f t="shared" si="40"/>
        <v>73.5</v>
      </c>
      <c r="H437" s="24" t="str">
        <f>IFERROR(VLOOKUP(B437,#REF!,8,FALSE),"")</f>
        <v/>
      </c>
      <c r="I437" s="17">
        <v>531000</v>
      </c>
      <c r="J437" s="17">
        <v>33000</v>
      </c>
      <c r="K437" s="24" t="str">
        <f>IFERROR(VLOOKUP(B437,#REF!,11,FALSE),"")</f>
        <v/>
      </c>
      <c r="L437" s="17">
        <v>162000</v>
      </c>
      <c r="M437" s="6" t="s">
        <v>751</v>
      </c>
      <c r="N437" s="18" t="str">
        <f>IFERROR(VLOOKUP(B437,#REF!,13,FALSE),"")</f>
        <v/>
      </c>
      <c r="O437" s="19" t="str">
        <f>IFERROR(VLOOKUP(B437,#REF!,14,FALSE),"")</f>
        <v/>
      </c>
      <c r="P437" s="19" t="str">
        <f>IFERROR(VLOOKUP(B437,#REF!,15,FALSE),"")</f>
        <v/>
      </c>
      <c r="Q437" s="19"/>
      <c r="R437" s="25" t="str">
        <f>IFERROR(VLOOKUP(B437,#REF!,16,FALSE),"")</f>
        <v/>
      </c>
      <c r="S437" s="17">
        <v>0</v>
      </c>
      <c r="T437" s="17">
        <v>162000</v>
      </c>
      <c r="U437" s="17">
        <v>0</v>
      </c>
      <c r="V437" s="17">
        <v>0</v>
      </c>
      <c r="W437" s="20">
        <v>693000</v>
      </c>
      <c r="X437" s="16">
        <v>25.7</v>
      </c>
      <c r="Y437" s="21">
        <v>96</v>
      </c>
      <c r="Z437" s="20">
        <v>27000</v>
      </c>
      <c r="AA437" s="17">
        <v>7222</v>
      </c>
      <c r="AB437" s="22">
        <v>0.3</v>
      </c>
      <c r="AC437" s="23">
        <f t="shared" si="41"/>
        <v>50</v>
      </c>
      <c r="AD437" s="17">
        <v>47000</v>
      </c>
      <c r="AE437" s="17">
        <v>42000</v>
      </c>
      <c r="AF437" s="17">
        <v>0</v>
      </c>
      <c r="AG437" s="17">
        <v>3000</v>
      </c>
      <c r="AH437" s="15" t="s">
        <v>42</v>
      </c>
    </row>
    <row r="438" spans="1:34">
      <c r="A438" s="13" t="str">
        <f t="shared" si="36"/>
        <v>None</v>
      </c>
      <c r="B438" s="14" t="s">
        <v>324</v>
      </c>
      <c r="C438" s="15" t="s">
        <v>280</v>
      </c>
      <c r="D438" s="19" t="str">
        <f t="shared" si="37"/>
        <v>前八週無拉料</v>
      </c>
      <c r="E438" s="16" t="str">
        <f t="shared" si="38"/>
        <v>--</v>
      </c>
      <c r="F438" s="16" t="str">
        <f t="shared" si="39"/>
        <v>--</v>
      </c>
      <c r="G438" s="16" t="str">
        <f t="shared" si="40"/>
        <v>--</v>
      </c>
      <c r="H438" s="24" t="str">
        <f>IFERROR(VLOOKUP(B438,#REF!,8,FALSE),"")</f>
        <v/>
      </c>
      <c r="I438" s="17">
        <v>0</v>
      </c>
      <c r="J438" s="17">
        <v>0</v>
      </c>
      <c r="K438" s="24" t="str">
        <f>IFERROR(VLOOKUP(B438,#REF!,11,FALSE),"")</f>
        <v/>
      </c>
      <c r="L438" s="17">
        <v>0</v>
      </c>
      <c r="M438" s="6" t="s">
        <v>748</v>
      </c>
      <c r="N438" s="18" t="str">
        <f>IFERROR(VLOOKUP(B438,#REF!,13,FALSE),"")</f>
        <v/>
      </c>
      <c r="O438" s="19" t="str">
        <f>IFERROR(VLOOKUP(B438,#REF!,14,FALSE),"")</f>
        <v/>
      </c>
      <c r="P438" s="19" t="str">
        <f>IFERROR(VLOOKUP(B438,#REF!,15,FALSE),"")</f>
        <v/>
      </c>
      <c r="Q438" s="19"/>
      <c r="R438" s="25" t="str">
        <f>IFERROR(VLOOKUP(B438,#REF!,16,FALSE),"")</f>
        <v/>
      </c>
      <c r="S438" s="17">
        <v>0</v>
      </c>
      <c r="T438" s="17">
        <v>0</v>
      </c>
      <c r="U438" s="17">
        <v>0</v>
      </c>
      <c r="V438" s="17">
        <v>0</v>
      </c>
      <c r="W438" s="20">
        <v>0</v>
      </c>
      <c r="X438" s="16" t="s">
        <v>40</v>
      </c>
      <c r="Y438" s="21" t="s">
        <v>40</v>
      </c>
      <c r="Z438" s="20">
        <v>0</v>
      </c>
      <c r="AA438" s="17" t="s">
        <v>40</v>
      </c>
      <c r="AB438" s="22" t="s">
        <v>41</v>
      </c>
      <c r="AC438" s="23" t="str">
        <f t="shared" si="41"/>
        <v>E</v>
      </c>
      <c r="AD438" s="17">
        <v>0</v>
      </c>
      <c r="AE438" s="17">
        <v>0</v>
      </c>
      <c r="AF438" s="17">
        <v>0</v>
      </c>
      <c r="AG438" s="17">
        <v>0</v>
      </c>
      <c r="AH438" s="15" t="s">
        <v>42</v>
      </c>
    </row>
    <row r="439" spans="1:34">
      <c r="A439" s="13" t="str">
        <f t="shared" si="36"/>
        <v>OverStock</v>
      </c>
      <c r="B439" s="14" t="s">
        <v>332</v>
      </c>
      <c r="C439" s="15" t="s">
        <v>280</v>
      </c>
      <c r="D439" s="19">
        <f t="shared" si="37"/>
        <v>0</v>
      </c>
      <c r="E439" s="16" t="str">
        <f t="shared" si="38"/>
        <v>--</v>
      </c>
      <c r="F439" s="16">
        <f t="shared" si="39"/>
        <v>42</v>
      </c>
      <c r="G439" s="16" t="str">
        <f t="shared" si="40"/>
        <v>--</v>
      </c>
      <c r="H439" s="24" t="str">
        <f>IFERROR(VLOOKUP(B439,#REF!,8,FALSE),"")</f>
        <v/>
      </c>
      <c r="I439" s="17">
        <v>252000</v>
      </c>
      <c r="J439" s="17">
        <v>45000</v>
      </c>
      <c r="K439" s="24" t="str">
        <f>IFERROR(VLOOKUP(B439,#REF!,11,FALSE),"")</f>
        <v/>
      </c>
      <c r="L439" s="17">
        <v>0</v>
      </c>
      <c r="M439" s="6" t="s">
        <v>748</v>
      </c>
      <c r="N439" s="18" t="str">
        <f>IFERROR(VLOOKUP(B439,#REF!,13,FALSE),"")</f>
        <v/>
      </c>
      <c r="O439" s="19" t="str">
        <f>IFERROR(VLOOKUP(B439,#REF!,14,FALSE),"")</f>
        <v/>
      </c>
      <c r="P439" s="19" t="str">
        <f>IFERROR(VLOOKUP(B439,#REF!,15,FALSE),"")</f>
        <v/>
      </c>
      <c r="Q439" s="19"/>
      <c r="R439" s="25" t="str">
        <f>IFERROR(VLOOKUP(B439,#REF!,16,FALSE),"")</f>
        <v/>
      </c>
      <c r="S439" s="17">
        <v>0</v>
      </c>
      <c r="T439" s="17">
        <v>0</v>
      </c>
      <c r="U439" s="17">
        <v>0</v>
      </c>
      <c r="V439" s="17">
        <v>0</v>
      </c>
      <c r="W439" s="20">
        <v>252000</v>
      </c>
      <c r="X439" s="16">
        <v>42</v>
      </c>
      <c r="Y439" s="21" t="s">
        <v>40</v>
      </c>
      <c r="Z439" s="20">
        <v>6000</v>
      </c>
      <c r="AA439" s="17" t="s">
        <v>40</v>
      </c>
      <c r="AB439" s="22" t="s">
        <v>41</v>
      </c>
      <c r="AC439" s="23" t="str">
        <f t="shared" si="41"/>
        <v>E</v>
      </c>
      <c r="AD439" s="17">
        <v>0</v>
      </c>
      <c r="AE439" s="17">
        <v>0</v>
      </c>
      <c r="AF439" s="17">
        <v>0</v>
      </c>
      <c r="AG439" s="17">
        <v>0</v>
      </c>
      <c r="AH439" s="15" t="s">
        <v>42</v>
      </c>
    </row>
    <row r="440" spans="1:34">
      <c r="A440" s="13" t="str">
        <f t="shared" si="36"/>
        <v>OverStock</v>
      </c>
      <c r="B440" s="14" t="s">
        <v>333</v>
      </c>
      <c r="C440" s="15" t="s">
        <v>280</v>
      </c>
      <c r="D440" s="19">
        <f t="shared" si="37"/>
        <v>7.6</v>
      </c>
      <c r="E440" s="16">
        <f t="shared" si="38"/>
        <v>5.5</v>
      </c>
      <c r="F440" s="16">
        <f t="shared" si="39"/>
        <v>40.9</v>
      </c>
      <c r="G440" s="16">
        <f t="shared" si="40"/>
        <v>29.5</v>
      </c>
      <c r="H440" s="24" t="str">
        <f>IFERROR(VLOOKUP(B440,#REF!,8,FALSE),"")</f>
        <v/>
      </c>
      <c r="I440" s="17">
        <v>1950000</v>
      </c>
      <c r="J440" s="17">
        <v>564000</v>
      </c>
      <c r="K440" s="24" t="str">
        <f>IFERROR(VLOOKUP(B440,#REF!,11,FALSE),"")</f>
        <v/>
      </c>
      <c r="L440" s="17">
        <v>360000</v>
      </c>
      <c r="M440" s="6" t="s">
        <v>759</v>
      </c>
      <c r="N440" s="18" t="str">
        <f>IFERROR(VLOOKUP(B440,#REF!,13,FALSE),"")</f>
        <v/>
      </c>
      <c r="O440" s="19" t="str">
        <f>IFERROR(VLOOKUP(B440,#REF!,14,FALSE),"")</f>
        <v/>
      </c>
      <c r="P440" s="19" t="str">
        <f>IFERROR(VLOOKUP(B440,#REF!,15,FALSE),"")</f>
        <v/>
      </c>
      <c r="Q440" s="19"/>
      <c r="R440" s="25" t="str">
        <f>IFERROR(VLOOKUP(B440,#REF!,16,FALSE),"")</f>
        <v/>
      </c>
      <c r="S440" s="17">
        <v>0</v>
      </c>
      <c r="T440" s="17">
        <v>360000</v>
      </c>
      <c r="U440" s="17">
        <v>0</v>
      </c>
      <c r="V440" s="17">
        <v>0</v>
      </c>
      <c r="W440" s="20">
        <v>2310000</v>
      </c>
      <c r="X440" s="16">
        <v>48.5</v>
      </c>
      <c r="Y440" s="21">
        <v>35</v>
      </c>
      <c r="Z440" s="20">
        <v>47625</v>
      </c>
      <c r="AA440" s="17">
        <v>66000</v>
      </c>
      <c r="AB440" s="22">
        <v>1.4</v>
      </c>
      <c r="AC440" s="23">
        <f t="shared" si="41"/>
        <v>100</v>
      </c>
      <c r="AD440" s="17">
        <v>126000</v>
      </c>
      <c r="AE440" s="17">
        <v>231000</v>
      </c>
      <c r="AF440" s="17">
        <v>237000</v>
      </c>
      <c r="AG440" s="17">
        <v>276000</v>
      </c>
      <c r="AH440" s="15" t="s">
        <v>42</v>
      </c>
    </row>
    <row r="441" spans="1:34">
      <c r="A441" s="13" t="str">
        <f t="shared" si="36"/>
        <v>ZeroZero</v>
      </c>
      <c r="B441" s="14" t="s">
        <v>336</v>
      </c>
      <c r="C441" s="15" t="s">
        <v>280</v>
      </c>
      <c r="D441" s="19" t="str">
        <f t="shared" si="37"/>
        <v>前八週無拉料</v>
      </c>
      <c r="E441" s="16" t="str">
        <f t="shared" si="38"/>
        <v>--</v>
      </c>
      <c r="F441" s="16" t="str">
        <f t="shared" si="39"/>
        <v>--</v>
      </c>
      <c r="G441" s="16" t="str">
        <f t="shared" si="40"/>
        <v>--</v>
      </c>
      <c r="H441" s="24" t="str">
        <f>IFERROR(VLOOKUP(B441,#REF!,8,FALSE),"")</f>
        <v/>
      </c>
      <c r="I441" s="17">
        <v>201000</v>
      </c>
      <c r="J441" s="17">
        <v>201000</v>
      </c>
      <c r="K441" s="24" t="str">
        <f>IFERROR(VLOOKUP(B441,#REF!,11,FALSE),"")</f>
        <v/>
      </c>
      <c r="L441" s="17">
        <v>2900</v>
      </c>
      <c r="M441" s="6" t="s">
        <v>748</v>
      </c>
      <c r="N441" s="18" t="str">
        <f>IFERROR(VLOOKUP(B441,#REF!,13,FALSE),"")</f>
        <v/>
      </c>
      <c r="O441" s="19" t="str">
        <f>IFERROR(VLOOKUP(B441,#REF!,14,FALSE),"")</f>
        <v/>
      </c>
      <c r="P441" s="19" t="str">
        <f>IFERROR(VLOOKUP(B441,#REF!,15,FALSE),"")</f>
        <v/>
      </c>
      <c r="Q441" s="19"/>
      <c r="R441" s="25" t="str">
        <f>IFERROR(VLOOKUP(B441,#REF!,16,FALSE),"")</f>
        <v/>
      </c>
      <c r="S441" s="17">
        <v>0</v>
      </c>
      <c r="T441" s="17">
        <v>2900</v>
      </c>
      <c r="U441" s="17">
        <v>0</v>
      </c>
      <c r="V441" s="17">
        <v>0</v>
      </c>
      <c r="W441" s="20">
        <v>203900</v>
      </c>
      <c r="X441" s="16" t="s">
        <v>40</v>
      </c>
      <c r="Y441" s="21" t="s">
        <v>40</v>
      </c>
      <c r="Z441" s="20">
        <v>0</v>
      </c>
      <c r="AA441" s="17" t="s">
        <v>40</v>
      </c>
      <c r="AB441" s="22" t="s">
        <v>41</v>
      </c>
      <c r="AC441" s="23" t="str">
        <f t="shared" si="41"/>
        <v>E</v>
      </c>
      <c r="AD441" s="17">
        <v>0</v>
      </c>
      <c r="AE441" s="17">
        <v>0</v>
      </c>
      <c r="AF441" s="17">
        <v>0</v>
      </c>
      <c r="AG441" s="17">
        <v>0</v>
      </c>
      <c r="AH441" s="15" t="s">
        <v>42</v>
      </c>
    </row>
    <row r="442" spans="1:34">
      <c r="A442" s="13" t="str">
        <f t="shared" si="36"/>
        <v>OverStock</v>
      </c>
      <c r="B442" s="14" t="s">
        <v>337</v>
      </c>
      <c r="C442" s="15" t="s">
        <v>280</v>
      </c>
      <c r="D442" s="19">
        <f t="shared" si="37"/>
        <v>0</v>
      </c>
      <c r="E442" s="16" t="str">
        <f t="shared" si="38"/>
        <v>--</v>
      </c>
      <c r="F442" s="16">
        <f t="shared" si="39"/>
        <v>750.8</v>
      </c>
      <c r="G442" s="16" t="str">
        <f t="shared" si="40"/>
        <v>--</v>
      </c>
      <c r="H442" s="24" t="str">
        <f>IFERROR(VLOOKUP(B442,#REF!,8,FALSE),"")</f>
        <v/>
      </c>
      <c r="I442" s="17">
        <v>844700</v>
      </c>
      <c r="J442" s="17">
        <v>157700</v>
      </c>
      <c r="K442" s="24" t="str">
        <f>IFERROR(VLOOKUP(B442,#REF!,11,FALSE),"")</f>
        <v/>
      </c>
      <c r="L442" s="17">
        <v>0</v>
      </c>
      <c r="M442" s="6" t="s">
        <v>748</v>
      </c>
      <c r="N442" s="18" t="str">
        <f>IFERROR(VLOOKUP(B442,#REF!,13,FALSE),"")</f>
        <v/>
      </c>
      <c r="O442" s="19" t="str">
        <f>IFERROR(VLOOKUP(B442,#REF!,14,FALSE),"")</f>
        <v/>
      </c>
      <c r="P442" s="19" t="str">
        <f>IFERROR(VLOOKUP(B442,#REF!,15,FALSE),"")</f>
        <v/>
      </c>
      <c r="Q442" s="19"/>
      <c r="R442" s="25" t="str">
        <f>IFERROR(VLOOKUP(B442,#REF!,16,FALSE),"")</f>
        <v/>
      </c>
      <c r="S442" s="17">
        <v>0</v>
      </c>
      <c r="T442" s="17">
        <v>0</v>
      </c>
      <c r="U442" s="17">
        <v>0</v>
      </c>
      <c r="V442" s="17">
        <v>0</v>
      </c>
      <c r="W442" s="20">
        <v>844700</v>
      </c>
      <c r="X442" s="16">
        <v>750.8</v>
      </c>
      <c r="Y442" s="21" t="s">
        <v>40</v>
      </c>
      <c r="Z442" s="20">
        <v>1125</v>
      </c>
      <c r="AA442" s="17" t="s">
        <v>40</v>
      </c>
      <c r="AB442" s="22" t="s">
        <v>41</v>
      </c>
      <c r="AC442" s="23" t="str">
        <f t="shared" si="41"/>
        <v>E</v>
      </c>
      <c r="AD442" s="17">
        <v>0</v>
      </c>
      <c r="AE442" s="17">
        <v>0</v>
      </c>
      <c r="AF442" s="17">
        <v>0</v>
      </c>
      <c r="AG442" s="17">
        <v>0</v>
      </c>
      <c r="AH442" s="15" t="s">
        <v>42</v>
      </c>
    </row>
    <row r="443" spans="1:34">
      <c r="A443" s="13" t="str">
        <f t="shared" si="36"/>
        <v>Normal</v>
      </c>
      <c r="B443" s="14" t="s">
        <v>338</v>
      </c>
      <c r="C443" s="15" t="s">
        <v>280</v>
      </c>
      <c r="D443" s="19">
        <f t="shared" si="37"/>
        <v>1.7</v>
      </c>
      <c r="E443" s="16" t="str">
        <f t="shared" si="38"/>
        <v>--</v>
      </c>
      <c r="F443" s="16">
        <f t="shared" si="39"/>
        <v>0</v>
      </c>
      <c r="G443" s="16" t="str">
        <f t="shared" si="40"/>
        <v>--</v>
      </c>
      <c r="H443" s="24" t="str">
        <f>IFERROR(VLOOKUP(B443,#REF!,8,FALSE),"")</f>
        <v/>
      </c>
      <c r="I443" s="17">
        <v>0</v>
      </c>
      <c r="J443" s="17">
        <v>0</v>
      </c>
      <c r="K443" s="24" t="str">
        <f>IFERROR(VLOOKUP(B443,#REF!,11,FALSE),"")</f>
        <v/>
      </c>
      <c r="L443" s="17">
        <v>78000</v>
      </c>
      <c r="M443" s="6" t="s">
        <v>753</v>
      </c>
      <c r="N443" s="18" t="str">
        <f>IFERROR(VLOOKUP(B443,#REF!,13,FALSE),"")</f>
        <v/>
      </c>
      <c r="O443" s="19" t="str">
        <f>IFERROR(VLOOKUP(B443,#REF!,14,FALSE),"")</f>
        <v/>
      </c>
      <c r="P443" s="19" t="str">
        <f>IFERROR(VLOOKUP(B443,#REF!,15,FALSE),"")</f>
        <v/>
      </c>
      <c r="Q443" s="19"/>
      <c r="R443" s="25" t="str">
        <f>IFERROR(VLOOKUP(B443,#REF!,16,FALSE),"")</f>
        <v/>
      </c>
      <c r="S443" s="17">
        <v>0</v>
      </c>
      <c r="T443" s="17">
        <v>78000</v>
      </c>
      <c r="U443" s="17">
        <v>0</v>
      </c>
      <c r="V443" s="17">
        <v>0</v>
      </c>
      <c r="W443" s="20">
        <v>78000</v>
      </c>
      <c r="X443" s="16">
        <v>1.7</v>
      </c>
      <c r="Y443" s="21" t="s">
        <v>40</v>
      </c>
      <c r="Z443" s="20">
        <v>46125</v>
      </c>
      <c r="AA443" s="17">
        <v>0</v>
      </c>
      <c r="AB443" s="22" t="s">
        <v>41</v>
      </c>
      <c r="AC443" s="23" t="str">
        <f t="shared" si="41"/>
        <v>E</v>
      </c>
      <c r="AD443" s="17">
        <v>0</v>
      </c>
      <c r="AE443" s="17">
        <v>0</v>
      </c>
      <c r="AF443" s="17">
        <v>0</v>
      </c>
      <c r="AG443" s="17">
        <v>0</v>
      </c>
      <c r="AH443" s="15" t="s">
        <v>42</v>
      </c>
    </row>
    <row r="444" spans="1:34">
      <c r="A444" s="13" t="str">
        <f t="shared" si="36"/>
        <v>Normal</v>
      </c>
      <c r="B444" s="14" t="s">
        <v>340</v>
      </c>
      <c r="C444" s="15" t="s">
        <v>280</v>
      </c>
      <c r="D444" s="19">
        <f t="shared" si="37"/>
        <v>8</v>
      </c>
      <c r="E444" s="16">
        <f t="shared" si="38"/>
        <v>4.5</v>
      </c>
      <c r="F444" s="16">
        <f t="shared" si="39"/>
        <v>0</v>
      </c>
      <c r="G444" s="16">
        <f t="shared" si="40"/>
        <v>0</v>
      </c>
      <c r="H444" s="24" t="str">
        <f>IFERROR(VLOOKUP(B444,#REF!,8,FALSE),"")</f>
        <v/>
      </c>
      <c r="I444" s="17">
        <v>0</v>
      </c>
      <c r="J444" s="17">
        <v>0</v>
      </c>
      <c r="K444" s="24" t="str">
        <f>IFERROR(VLOOKUP(B444,#REF!,11,FALSE),"")</f>
        <v/>
      </c>
      <c r="L444" s="17">
        <v>3000</v>
      </c>
      <c r="M444" s="6" t="s">
        <v>758</v>
      </c>
      <c r="N444" s="18" t="str">
        <f>IFERROR(VLOOKUP(B444,#REF!,13,FALSE),"")</f>
        <v/>
      </c>
      <c r="O444" s="19" t="str">
        <f>IFERROR(VLOOKUP(B444,#REF!,14,FALSE),"")</f>
        <v/>
      </c>
      <c r="P444" s="19" t="str">
        <f>IFERROR(VLOOKUP(B444,#REF!,15,FALSE),"")</f>
        <v/>
      </c>
      <c r="Q444" s="19"/>
      <c r="R444" s="25" t="str">
        <f>IFERROR(VLOOKUP(B444,#REF!,16,FALSE),"")</f>
        <v/>
      </c>
      <c r="S444" s="17">
        <v>0</v>
      </c>
      <c r="T444" s="17">
        <v>3000</v>
      </c>
      <c r="U444" s="17">
        <v>0</v>
      </c>
      <c r="V444" s="17">
        <v>0</v>
      </c>
      <c r="W444" s="20">
        <v>3000</v>
      </c>
      <c r="X444" s="16">
        <v>8</v>
      </c>
      <c r="Y444" s="21">
        <v>4.5</v>
      </c>
      <c r="Z444" s="20">
        <v>375</v>
      </c>
      <c r="AA444" s="17">
        <v>667</v>
      </c>
      <c r="AB444" s="22">
        <v>1.8</v>
      </c>
      <c r="AC444" s="23">
        <f t="shared" si="41"/>
        <v>100</v>
      </c>
      <c r="AD444" s="17">
        <v>6000</v>
      </c>
      <c r="AE444" s="17">
        <v>0</v>
      </c>
      <c r="AF444" s="17">
        <v>0</v>
      </c>
      <c r="AG444" s="17">
        <v>0</v>
      </c>
      <c r="AH444" s="15" t="s">
        <v>42</v>
      </c>
    </row>
    <row r="445" spans="1:34">
      <c r="A445" s="13" t="str">
        <f t="shared" si="36"/>
        <v>FCST</v>
      </c>
      <c r="B445" s="14" t="s">
        <v>341</v>
      </c>
      <c r="C445" s="15" t="s">
        <v>280</v>
      </c>
      <c r="D445" s="19" t="str">
        <f t="shared" si="37"/>
        <v>前八週無拉料</v>
      </c>
      <c r="E445" s="16">
        <f t="shared" si="38"/>
        <v>6.3</v>
      </c>
      <c r="F445" s="16" t="str">
        <f t="shared" si="39"/>
        <v>--</v>
      </c>
      <c r="G445" s="16">
        <f t="shared" si="40"/>
        <v>11.7</v>
      </c>
      <c r="H445" s="24" t="str">
        <f>IFERROR(VLOOKUP(B445,#REF!,8,FALSE),"")</f>
        <v/>
      </c>
      <c r="I445" s="17">
        <v>78000</v>
      </c>
      <c r="J445" s="17">
        <v>0</v>
      </c>
      <c r="K445" s="24" t="str">
        <f>IFERROR(VLOOKUP(B445,#REF!,11,FALSE),"")</f>
        <v/>
      </c>
      <c r="L445" s="17">
        <v>42000</v>
      </c>
      <c r="M445" s="6" t="s">
        <v>748</v>
      </c>
      <c r="N445" s="18" t="str">
        <f>IFERROR(VLOOKUP(B445,#REF!,13,FALSE),"")</f>
        <v/>
      </c>
      <c r="O445" s="19" t="str">
        <f>IFERROR(VLOOKUP(B445,#REF!,14,FALSE),"")</f>
        <v/>
      </c>
      <c r="P445" s="19" t="str">
        <f>IFERROR(VLOOKUP(B445,#REF!,15,FALSE),"")</f>
        <v/>
      </c>
      <c r="Q445" s="19"/>
      <c r="R445" s="25" t="str">
        <f>IFERROR(VLOOKUP(B445,#REF!,16,FALSE),"")</f>
        <v/>
      </c>
      <c r="S445" s="17">
        <v>0</v>
      </c>
      <c r="T445" s="17">
        <v>42000</v>
      </c>
      <c r="U445" s="17">
        <v>0</v>
      </c>
      <c r="V445" s="17">
        <v>0</v>
      </c>
      <c r="W445" s="20">
        <v>120000</v>
      </c>
      <c r="X445" s="16" t="s">
        <v>40</v>
      </c>
      <c r="Y445" s="21">
        <v>18.100000000000001</v>
      </c>
      <c r="Z445" s="20">
        <v>0</v>
      </c>
      <c r="AA445" s="17">
        <v>6648</v>
      </c>
      <c r="AB445" s="22" t="s">
        <v>51</v>
      </c>
      <c r="AC445" s="23" t="str">
        <f t="shared" si="41"/>
        <v>F</v>
      </c>
      <c r="AD445" s="17">
        <v>8944</v>
      </c>
      <c r="AE445" s="17">
        <v>40576</v>
      </c>
      <c r="AF445" s="17">
        <v>17540</v>
      </c>
      <c r="AG445" s="17">
        <v>11268</v>
      </c>
      <c r="AH445" s="15" t="s">
        <v>42</v>
      </c>
    </row>
    <row r="446" spans="1:34">
      <c r="A446" s="13" t="str">
        <f t="shared" si="36"/>
        <v>Normal</v>
      </c>
      <c r="B446" s="14" t="s">
        <v>343</v>
      </c>
      <c r="C446" s="15" t="s">
        <v>280</v>
      </c>
      <c r="D446" s="19">
        <f t="shared" si="37"/>
        <v>12.6</v>
      </c>
      <c r="E446" s="16" t="str">
        <f t="shared" si="38"/>
        <v>--</v>
      </c>
      <c r="F446" s="16">
        <f t="shared" si="39"/>
        <v>0</v>
      </c>
      <c r="G446" s="16" t="str">
        <f t="shared" si="40"/>
        <v>--</v>
      </c>
      <c r="H446" s="24" t="str">
        <f>IFERROR(VLOOKUP(B446,#REF!,8,FALSE),"")</f>
        <v/>
      </c>
      <c r="I446" s="17">
        <v>0</v>
      </c>
      <c r="J446" s="17">
        <v>0</v>
      </c>
      <c r="K446" s="24" t="str">
        <f>IFERROR(VLOOKUP(B446,#REF!,11,FALSE),"")</f>
        <v/>
      </c>
      <c r="L446" s="17">
        <v>33000</v>
      </c>
      <c r="M446" s="6" t="s">
        <v>748</v>
      </c>
      <c r="N446" s="18" t="str">
        <f>IFERROR(VLOOKUP(B446,#REF!,13,FALSE),"")</f>
        <v/>
      </c>
      <c r="O446" s="19" t="str">
        <f>IFERROR(VLOOKUP(B446,#REF!,14,FALSE),"")</f>
        <v/>
      </c>
      <c r="P446" s="19" t="str">
        <f>IFERROR(VLOOKUP(B446,#REF!,15,FALSE),"")</f>
        <v/>
      </c>
      <c r="Q446" s="19"/>
      <c r="R446" s="25" t="str">
        <f>IFERROR(VLOOKUP(B446,#REF!,16,FALSE),"")</f>
        <v/>
      </c>
      <c r="S446" s="17">
        <v>0</v>
      </c>
      <c r="T446" s="17">
        <v>3000</v>
      </c>
      <c r="U446" s="17">
        <v>30000</v>
      </c>
      <c r="V446" s="17">
        <v>0</v>
      </c>
      <c r="W446" s="20">
        <v>33000</v>
      </c>
      <c r="X446" s="16">
        <v>12.6</v>
      </c>
      <c r="Y446" s="21" t="s">
        <v>40</v>
      </c>
      <c r="Z446" s="20">
        <v>2625</v>
      </c>
      <c r="AA446" s="17" t="s">
        <v>40</v>
      </c>
      <c r="AB446" s="22" t="s">
        <v>41</v>
      </c>
      <c r="AC446" s="23" t="str">
        <f t="shared" si="41"/>
        <v>E</v>
      </c>
      <c r="AD446" s="17">
        <v>0</v>
      </c>
      <c r="AE446" s="17">
        <v>0</v>
      </c>
      <c r="AF446" s="17">
        <v>0</v>
      </c>
      <c r="AG446" s="17">
        <v>0</v>
      </c>
      <c r="AH446" s="15" t="s">
        <v>42</v>
      </c>
    </row>
    <row r="447" spans="1:34">
      <c r="A447" s="13" t="str">
        <f t="shared" si="36"/>
        <v>OverStock</v>
      </c>
      <c r="B447" s="14" t="s">
        <v>344</v>
      </c>
      <c r="C447" s="15" t="s">
        <v>280</v>
      </c>
      <c r="D447" s="19">
        <f t="shared" si="37"/>
        <v>27.3</v>
      </c>
      <c r="E447" s="16" t="str">
        <f t="shared" si="38"/>
        <v>--</v>
      </c>
      <c r="F447" s="16">
        <f t="shared" si="39"/>
        <v>0</v>
      </c>
      <c r="G447" s="16" t="str">
        <f t="shared" si="40"/>
        <v>--</v>
      </c>
      <c r="H447" s="24" t="str">
        <f>IFERROR(VLOOKUP(B447,#REF!,8,FALSE),"")</f>
        <v/>
      </c>
      <c r="I447" s="17">
        <v>0</v>
      </c>
      <c r="J447" s="17">
        <v>0</v>
      </c>
      <c r="K447" s="24" t="str">
        <f>IFERROR(VLOOKUP(B447,#REF!,11,FALSE),"")</f>
        <v/>
      </c>
      <c r="L447" s="17">
        <v>10240</v>
      </c>
      <c r="M447" s="6" t="s">
        <v>748</v>
      </c>
      <c r="N447" s="18" t="str">
        <f>IFERROR(VLOOKUP(B447,#REF!,13,FALSE),"")</f>
        <v/>
      </c>
      <c r="O447" s="19" t="str">
        <f>IFERROR(VLOOKUP(B447,#REF!,14,FALSE),"")</f>
        <v/>
      </c>
      <c r="P447" s="19" t="str">
        <f>IFERROR(VLOOKUP(B447,#REF!,15,FALSE),"")</f>
        <v/>
      </c>
      <c r="Q447" s="19"/>
      <c r="R447" s="25" t="str">
        <f>IFERROR(VLOOKUP(B447,#REF!,16,FALSE),"")</f>
        <v/>
      </c>
      <c r="S447" s="17">
        <v>0</v>
      </c>
      <c r="T447" s="17">
        <v>10240</v>
      </c>
      <c r="U447" s="17">
        <v>0</v>
      </c>
      <c r="V447" s="17">
        <v>0</v>
      </c>
      <c r="W447" s="20">
        <v>10240</v>
      </c>
      <c r="X447" s="16">
        <v>27.3</v>
      </c>
      <c r="Y447" s="21" t="s">
        <v>40</v>
      </c>
      <c r="Z447" s="20">
        <v>375</v>
      </c>
      <c r="AA447" s="17" t="s">
        <v>40</v>
      </c>
      <c r="AB447" s="22" t="s">
        <v>41</v>
      </c>
      <c r="AC447" s="23" t="str">
        <f t="shared" si="41"/>
        <v>E</v>
      </c>
      <c r="AD447" s="17">
        <v>0</v>
      </c>
      <c r="AE447" s="17">
        <v>0</v>
      </c>
      <c r="AF447" s="17">
        <v>0</v>
      </c>
      <c r="AG447" s="17">
        <v>0</v>
      </c>
      <c r="AH447" s="15" t="s">
        <v>42</v>
      </c>
    </row>
    <row r="448" spans="1:34">
      <c r="A448" s="13" t="str">
        <f t="shared" si="36"/>
        <v>OverStock</v>
      </c>
      <c r="B448" s="14" t="s">
        <v>345</v>
      </c>
      <c r="C448" s="15" t="s">
        <v>280</v>
      </c>
      <c r="D448" s="19">
        <f t="shared" si="37"/>
        <v>8</v>
      </c>
      <c r="E448" s="16" t="str">
        <f t="shared" si="38"/>
        <v>--</v>
      </c>
      <c r="F448" s="16">
        <f t="shared" si="39"/>
        <v>16</v>
      </c>
      <c r="G448" s="16" t="str">
        <f t="shared" si="40"/>
        <v>--</v>
      </c>
      <c r="H448" s="24" t="str">
        <f>IFERROR(VLOOKUP(B448,#REF!,8,FALSE),"")</f>
        <v/>
      </c>
      <c r="I448" s="17">
        <v>6000</v>
      </c>
      <c r="J448" s="17">
        <v>6000</v>
      </c>
      <c r="K448" s="24" t="str">
        <f>IFERROR(VLOOKUP(B448,#REF!,11,FALSE),"")</f>
        <v/>
      </c>
      <c r="L448" s="17">
        <v>3000</v>
      </c>
      <c r="M448" s="6" t="s">
        <v>748</v>
      </c>
      <c r="N448" s="18" t="str">
        <f>IFERROR(VLOOKUP(B448,#REF!,13,FALSE),"")</f>
        <v/>
      </c>
      <c r="O448" s="19" t="str">
        <f>IFERROR(VLOOKUP(B448,#REF!,14,FALSE),"")</f>
        <v/>
      </c>
      <c r="P448" s="19" t="str">
        <f>IFERROR(VLOOKUP(B448,#REF!,15,FALSE),"")</f>
        <v/>
      </c>
      <c r="Q448" s="19"/>
      <c r="R448" s="25" t="str">
        <f>IFERROR(VLOOKUP(B448,#REF!,16,FALSE),"")</f>
        <v/>
      </c>
      <c r="S448" s="17">
        <v>0</v>
      </c>
      <c r="T448" s="17">
        <v>3000</v>
      </c>
      <c r="U448" s="17">
        <v>0</v>
      </c>
      <c r="V448" s="17">
        <v>0</v>
      </c>
      <c r="W448" s="20">
        <v>9000</v>
      </c>
      <c r="X448" s="16">
        <v>24</v>
      </c>
      <c r="Y448" s="21" t="s">
        <v>40</v>
      </c>
      <c r="Z448" s="20">
        <v>375</v>
      </c>
      <c r="AA448" s="17" t="s">
        <v>40</v>
      </c>
      <c r="AB448" s="22" t="s">
        <v>41</v>
      </c>
      <c r="AC448" s="23" t="str">
        <f t="shared" si="41"/>
        <v>E</v>
      </c>
      <c r="AD448" s="17">
        <v>0</v>
      </c>
      <c r="AE448" s="17">
        <v>0</v>
      </c>
      <c r="AF448" s="17">
        <v>0</v>
      </c>
      <c r="AG448" s="17">
        <v>0</v>
      </c>
      <c r="AH448" s="15" t="s">
        <v>42</v>
      </c>
    </row>
    <row r="449" spans="1:34">
      <c r="A449" s="13" t="str">
        <f t="shared" si="36"/>
        <v>None</v>
      </c>
      <c r="B449" s="14" t="s">
        <v>347</v>
      </c>
      <c r="C449" s="15" t="s">
        <v>280</v>
      </c>
      <c r="D449" s="19" t="str">
        <f t="shared" si="37"/>
        <v>前八週無拉料</v>
      </c>
      <c r="E449" s="16" t="str">
        <f t="shared" si="38"/>
        <v>--</v>
      </c>
      <c r="F449" s="16" t="str">
        <f t="shared" si="39"/>
        <v>--</v>
      </c>
      <c r="G449" s="16" t="str">
        <f t="shared" si="40"/>
        <v>--</v>
      </c>
      <c r="H449" s="24" t="str">
        <f>IFERROR(VLOOKUP(B449,#REF!,8,FALSE),"")</f>
        <v/>
      </c>
      <c r="I449" s="17">
        <v>0</v>
      </c>
      <c r="J449" s="17">
        <v>0</v>
      </c>
      <c r="K449" s="24" t="str">
        <f>IFERROR(VLOOKUP(B449,#REF!,11,FALSE),"")</f>
        <v/>
      </c>
      <c r="L449" s="17">
        <v>0</v>
      </c>
      <c r="M449" s="6" t="s">
        <v>752</v>
      </c>
      <c r="N449" s="18" t="str">
        <f>IFERROR(VLOOKUP(B449,#REF!,13,FALSE),"")</f>
        <v/>
      </c>
      <c r="O449" s="19" t="str">
        <f>IFERROR(VLOOKUP(B449,#REF!,14,FALSE),"")</f>
        <v/>
      </c>
      <c r="P449" s="19" t="str">
        <f>IFERROR(VLOOKUP(B449,#REF!,15,FALSE),"")</f>
        <v/>
      </c>
      <c r="Q449" s="19"/>
      <c r="R449" s="25" t="str">
        <f>IFERROR(VLOOKUP(B449,#REF!,16,FALSE),"")</f>
        <v/>
      </c>
      <c r="S449" s="17">
        <v>0</v>
      </c>
      <c r="T449" s="17">
        <v>0</v>
      </c>
      <c r="U449" s="17">
        <v>0</v>
      </c>
      <c r="V449" s="17">
        <v>0</v>
      </c>
      <c r="W449" s="20">
        <v>0</v>
      </c>
      <c r="X449" s="16" t="s">
        <v>40</v>
      </c>
      <c r="Y449" s="21" t="s">
        <v>40</v>
      </c>
      <c r="Z449" s="20">
        <v>0</v>
      </c>
      <c r="AA449" s="17" t="s">
        <v>40</v>
      </c>
      <c r="AB449" s="22" t="s">
        <v>41</v>
      </c>
      <c r="AC449" s="23" t="str">
        <f t="shared" si="41"/>
        <v>E</v>
      </c>
      <c r="AD449" s="17">
        <v>0</v>
      </c>
      <c r="AE449" s="17">
        <v>0</v>
      </c>
      <c r="AF449" s="17">
        <v>0</v>
      </c>
      <c r="AG449" s="17">
        <v>0</v>
      </c>
      <c r="AH449" s="15" t="s">
        <v>42</v>
      </c>
    </row>
    <row r="450" spans="1:34">
      <c r="A450" s="13" t="str">
        <f t="shared" si="36"/>
        <v>OverStock</v>
      </c>
      <c r="B450" s="14" t="s">
        <v>350</v>
      </c>
      <c r="C450" s="15" t="s">
        <v>280</v>
      </c>
      <c r="D450" s="19">
        <f t="shared" si="37"/>
        <v>8.6</v>
      </c>
      <c r="E450" s="16">
        <f t="shared" si="38"/>
        <v>3.1</v>
      </c>
      <c r="F450" s="16">
        <f t="shared" si="39"/>
        <v>73.599999999999994</v>
      </c>
      <c r="G450" s="16">
        <f t="shared" si="40"/>
        <v>26.2</v>
      </c>
      <c r="H450" s="24" t="str">
        <f>IFERROR(VLOOKUP(B450,#REF!,8,FALSE),"")</f>
        <v/>
      </c>
      <c r="I450" s="17">
        <v>3285000</v>
      </c>
      <c r="J450" s="17">
        <v>780000</v>
      </c>
      <c r="K450" s="24" t="str">
        <f>IFERROR(VLOOKUP(B450,#REF!,11,FALSE),"")</f>
        <v/>
      </c>
      <c r="L450" s="17">
        <v>384000</v>
      </c>
      <c r="M450" s="6" t="s">
        <v>751</v>
      </c>
      <c r="N450" s="18" t="str">
        <f>IFERROR(VLOOKUP(B450,#REF!,13,FALSE),"")</f>
        <v/>
      </c>
      <c r="O450" s="19" t="str">
        <f>IFERROR(VLOOKUP(B450,#REF!,14,FALSE),"")</f>
        <v/>
      </c>
      <c r="P450" s="19" t="str">
        <f>IFERROR(VLOOKUP(B450,#REF!,15,FALSE),"")</f>
        <v/>
      </c>
      <c r="Q450" s="19"/>
      <c r="R450" s="25" t="str">
        <f>IFERROR(VLOOKUP(B450,#REF!,16,FALSE),"")</f>
        <v/>
      </c>
      <c r="S450" s="17">
        <v>0</v>
      </c>
      <c r="T450" s="17">
        <v>384000</v>
      </c>
      <c r="U450" s="17">
        <v>0</v>
      </c>
      <c r="V450" s="17">
        <v>0</v>
      </c>
      <c r="W450" s="20">
        <v>3669000</v>
      </c>
      <c r="X450" s="16">
        <v>82.2</v>
      </c>
      <c r="Y450" s="21">
        <v>29.3</v>
      </c>
      <c r="Z450" s="20">
        <v>44625</v>
      </c>
      <c r="AA450" s="17">
        <v>125171</v>
      </c>
      <c r="AB450" s="22">
        <v>2.8</v>
      </c>
      <c r="AC450" s="23">
        <f t="shared" si="41"/>
        <v>150</v>
      </c>
      <c r="AD450" s="17">
        <v>54910</v>
      </c>
      <c r="AE450" s="17">
        <v>995122</v>
      </c>
      <c r="AF450" s="17">
        <v>140273</v>
      </c>
      <c r="AG450" s="17">
        <v>188617</v>
      </c>
      <c r="AH450" s="15" t="s">
        <v>42</v>
      </c>
    </row>
    <row r="451" spans="1:34">
      <c r="A451" s="13" t="str">
        <f t="shared" si="36"/>
        <v>OverStock</v>
      </c>
      <c r="B451" s="14" t="s">
        <v>352</v>
      </c>
      <c r="C451" s="15" t="s">
        <v>280</v>
      </c>
      <c r="D451" s="19">
        <f t="shared" si="37"/>
        <v>8</v>
      </c>
      <c r="E451" s="16" t="str">
        <f t="shared" si="38"/>
        <v>--</v>
      </c>
      <c r="F451" s="16">
        <f t="shared" si="39"/>
        <v>16</v>
      </c>
      <c r="G451" s="16" t="str">
        <f t="shared" si="40"/>
        <v>--</v>
      </c>
      <c r="H451" s="24" t="str">
        <f>IFERROR(VLOOKUP(B451,#REF!,8,FALSE),"")</f>
        <v/>
      </c>
      <c r="I451" s="17">
        <v>6000</v>
      </c>
      <c r="J451" s="17">
        <v>0</v>
      </c>
      <c r="K451" s="24" t="str">
        <f>IFERROR(VLOOKUP(B451,#REF!,11,FALSE),"")</f>
        <v/>
      </c>
      <c r="L451" s="17">
        <v>3000</v>
      </c>
      <c r="M451" s="6" t="s">
        <v>759</v>
      </c>
      <c r="N451" s="18" t="str">
        <f>IFERROR(VLOOKUP(B451,#REF!,13,FALSE),"")</f>
        <v/>
      </c>
      <c r="O451" s="19" t="str">
        <f>IFERROR(VLOOKUP(B451,#REF!,14,FALSE),"")</f>
        <v/>
      </c>
      <c r="P451" s="19" t="str">
        <f>IFERROR(VLOOKUP(B451,#REF!,15,FALSE),"")</f>
        <v/>
      </c>
      <c r="Q451" s="19"/>
      <c r="R451" s="25" t="str">
        <f>IFERROR(VLOOKUP(B451,#REF!,16,FALSE),"")</f>
        <v/>
      </c>
      <c r="S451" s="17">
        <v>0</v>
      </c>
      <c r="T451" s="17">
        <v>3000</v>
      </c>
      <c r="U451" s="17">
        <v>0</v>
      </c>
      <c r="V451" s="17">
        <v>0</v>
      </c>
      <c r="W451" s="20">
        <v>9000</v>
      </c>
      <c r="X451" s="16">
        <v>24</v>
      </c>
      <c r="Y451" s="21" t="s">
        <v>40</v>
      </c>
      <c r="Z451" s="20">
        <v>375</v>
      </c>
      <c r="AA451" s="17">
        <v>0</v>
      </c>
      <c r="AB451" s="22" t="s">
        <v>41</v>
      </c>
      <c r="AC451" s="23" t="str">
        <f t="shared" si="41"/>
        <v>E</v>
      </c>
      <c r="AD451" s="17">
        <v>0</v>
      </c>
      <c r="AE451" s="17">
        <v>0</v>
      </c>
      <c r="AF451" s="17">
        <v>0</v>
      </c>
      <c r="AG451" s="17">
        <v>0</v>
      </c>
      <c r="AH451" s="15" t="s">
        <v>42</v>
      </c>
    </row>
    <row r="452" spans="1:34">
      <c r="A452" s="13" t="str">
        <f t="shared" ref="A452:A515" si="42">IF(OR(Z452=0,LEN(Z452)=0)*OR(AA452=0,LEN(AA452)=0),IF(W452&gt;0,"ZeroZero","None"),IF(IF(LEN(X452)=0,0,X452)&gt;16,"OverStock",IF(Z452=0,"FCST","Normal")))</f>
        <v>Normal</v>
      </c>
      <c r="B452" s="14" t="s">
        <v>355</v>
      </c>
      <c r="C452" s="15" t="s">
        <v>280</v>
      </c>
      <c r="D452" s="19">
        <f t="shared" ref="D452:D515" si="43">IF(Z452=0,"前八週無拉料",ROUND(L452/Z452,1))</f>
        <v>8</v>
      </c>
      <c r="E452" s="16" t="str">
        <f t="shared" ref="E452:E515" si="44">IF(OR(AA452=0,LEN(AA452)=0),"--",ROUND(L452/AA452,1))</f>
        <v>--</v>
      </c>
      <c r="F452" s="16">
        <f t="shared" ref="F452:F515" si="45">IF(Z452=0,"--",ROUND(I452/Z452,1))</f>
        <v>0</v>
      </c>
      <c r="G452" s="16" t="str">
        <f t="shared" ref="G452:G515" si="46">IF(OR(AA452=0,LEN(AA452)=0),"--",ROUND(I452/AA452,1))</f>
        <v>--</v>
      </c>
      <c r="H452" s="24" t="str">
        <f>IFERROR(VLOOKUP(B452,#REF!,8,FALSE),"")</f>
        <v/>
      </c>
      <c r="I452" s="17">
        <v>0</v>
      </c>
      <c r="J452" s="17">
        <v>0</v>
      </c>
      <c r="K452" s="24" t="str">
        <f>IFERROR(VLOOKUP(B452,#REF!,11,FALSE),"")</f>
        <v/>
      </c>
      <c r="L452" s="17">
        <v>3000</v>
      </c>
      <c r="M452" s="6" t="s">
        <v>748</v>
      </c>
      <c r="N452" s="18" t="str">
        <f>IFERROR(VLOOKUP(B452,#REF!,13,FALSE),"")</f>
        <v/>
      </c>
      <c r="O452" s="19" t="str">
        <f>IFERROR(VLOOKUP(B452,#REF!,14,FALSE),"")</f>
        <v/>
      </c>
      <c r="P452" s="19" t="str">
        <f>IFERROR(VLOOKUP(B452,#REF!,15,FALSE),"")</f>
        <v/>
      </c>
      <c r="Q452" s="19"/>
      <c r="R452" s="25" t="str">
        <f>IFERROR(VLOOKUP(B452,#REF!,16,FALSE),"")</f>
        <v/>
      </c>
      <c r="S452" s="17">
        <v>0</v>
      </c>
      <c r="T452" s="17">
        <v>3000</v>
      </c>
      <c r="U452" s="17">
        <v>0</v>
      </c>
      <c r="V452" s="17">
        <v>0</v>
      </c>
      <c r="W452" s="20">
        <v>3000</v>
      </c>
      <c r="X452" s="16">
        <v>8</v>
      </c>
      <c r="Y452" s="21" t="s">
        <v>40</v>
      </c>
      <c r="Z452" s="20">
        <v>375</v>
      </c>
      <c r="AA452" s="17" t="s">
        <v>40</v>
      </c>
      <c r="AB452" s="22" t="s">
        <v>41</v>
      </c>
      <c r="AC452" s="23" t="str">
        <f t="shared" ref="AC452:AC515" si="47">IF($AB452="E","E",IF($AB452="F","F",IF($AB452&lt;0.5,50,IF($AB452&lt;2,100,150))))</f>
        <v>E</v>
      </c>
      <c r="AD452" s="17">
        <v>0</v>
      </c>
      <c r="AE452" s="17">
        <v>0</v>
      </c>
      <c r="AF452" s="17">
        <v>0</v>
      </c>
      <c r="AG452" s="17">
        <v>0</v>
      </c>
      <c r="AH452" s="15" t="s">
        <v>42</v>
      </c>
    </row>
    <row r="453" spans="1:34">
      <c r="A453" s="13" t="str">
        <f t="shared" si="42"/>
        <v>OverStock</v>
      </c>
      <c r="B453" s="14" t="s">
        <v>356</v>
      </c>
      <c r="C453" s="15" t="s">
        <v>280</v>
      </c>
      <c r="D453" s="19">
        <f t="shared" si="43"/>
        <v>1.2</v>
      </c>
      <c r="E453" s="16">
        <f t="shared" si="44"/>
        <v>9.5</v>
      </c>
      <c r="F453" s="16">
        <f t="shared" si="45"/>
        <v>90.7</v>
      </c>
      <c r="G453" s="16">
        <f t="shared" si="46"/>
        <v>723.3</v>
      </c>
      <c r="H453" s="24" t="str">
        <f>IFERROR(VLOOKUP(B453,#REF!,8,FALSE),"")</f>
        <v/>
      </c>
      <c r="I453" s="17">
        <v>8196000</v>
      </c>
      <c r="J453" s="17">
        <v>1017000</v>
      </c>
      <c r="K453" s="24" t="str">
        <f>IFERROR(VLOOKUP(B453,#REF!,11,FALSE),"")</f>
        <v/>
      </c>
      <c r="L453" s="17">
        <v>108000</v>
      </c>
      <c r="M453" s="6" t="s">
        <v>749</v>
      </c>
      <c r="N453" s="18" t="str">
        <f>IFERROR(VLOOKUP(B453,#REF!,13,FALSE),"")</f>
        <v/>
      </c>
      <c r="O453" s="19" t="str">
        <f>IFERROR(VLOOKUP(B453,#REF!,14,FALSE),"")</f>
        <v/>
      </c>
      <c r="P453" s="19" t="str">
        <f>IFERROR(VLOOKUP(B453,#REF!,15,FALSE),"")</f>
        <v/>
      </c>
      <c r="Q453" s="19"/>
      <c r="R453" s="25" t="str">
        <f>IFERROR(VLOOKUP(B453,#REF!,16,FALSE),"")</f>
        <v/>
      </c>
      <c r="S453" s="17">
        <v>0</v>
      </c>
      <c r="T453" s="17">
        <v>90000</v>
      </c>
      <c r="U453" s="17">
        <v>18000</v>
      </c>
      <c r="V453" s="17">
        <v>0</v>
      </c>
      <c r="W453" s="20">
        <v>8304000</v>
      </c>
      <c r="X453" s="16">
        <v>91.9</v>
      </c>
      <c r="Y453" s="21">
        <v>732.8</v>
      </c>
      <c r="Z453" s="20">
        <v>90375</v>
      </c>
      <c r="AA453" s="17">
        <v>11332</v>
      </c>
      <c r="AB453" s="22">
        <v>0.1</v>
      </c>
      <c r="AC453" s="23">
        <f t="shared" si="47"/>
        <v>50</v>
      </c>
      <c r="AD453" s="17">
        <v>36000</v>
      </c>
      <c r="AE453" s="17">
        <v>21000</v>
      </c>
      <c r="AF453" s="17">
        <v>69000</v>
      </c>
      <c r="AG453" s="17">
        <v>864000</v>
      </c>
      <c r="AH453" s="15" t="s">
        <v>42</v>
      </c>
    </row>
    <row r="454" spans="1:34">
      <c r="A454" s="13" t="str">
        <f t="shared" si="42"/>
        <v>None</v>
      </c>
      <c r="B454" s="14" t="s">
        <v>357</v>
      </c>
      <c r="C454" s="15" t="s">
        <v>280</v>
      </c>
      <c r="D454" s="19" t="str">
        <f t="shared" si="43"/>
        <v>前八週無拉料</v>
      </c>
      <c r="E454" s="16" t="str">
        <f t="shared" si="44"/>
        <v>--</v>
      </c>
      <c r="F454" s="16" t="str">
        <f t="shared" si="45"/>
        <v>--</v>
      </c>
      <c r="G454" s="16" t="str">
        <f t="shared" si="46"/>
        <v>--</v>
      </c>
      <c r="H454" s="24" t="str">
        <f>IFERROR(VLOOKUP(B454,#REF!,8,FALSE),"")</f>
        <v/>
      </c>
      <c r="I454" s="17">
        <v>0</v>
      </c>
      <c r="J454" s="17">
        <v>0</v>
      </c>
      <c r="K454" s="24" t="str">
        <f>IFERROR(VLOOKUP(B454,#REF!,11,FALSE),"")</f>
        <v/>
      </c>
      <c r="L454" s="17">
        <v>0</v>
      </c>
      <c r="M454" s="6" t="s">
        <v>748</v>
      </c>
      <c r="N454" s="18" t="str">
        <f>IFERROR(VLOOKUP(B454,#REF!,13,FALSE),"")</f>
        <v/>
      </c>
      <c r="O454" s="19" t="str">
        <f>IFERROR(VLOOKUP(B454,#REF!,14,FALSE),"")</f>
        <v/>
      </c>
      <c r="P454" s="19" t="str">
        <f>IFERROR(VLOOKUP(B454,#REF!,15,FALSE),"")</f>
        <v/>
      </c>
      <c r="Q454" s="19"/>
      <c r="R454" s="25" t="str">
        <f>IFERROR(VLOOKUP(B454,#REF!,16,FALSE),"")</f>
        <v/>
      </c>
      <c r="S454" s="17">
        <v>0</v>
      </c>
      <c r="T454" s="17">
        <v>0</v>
      </c>
      <c r="U454" s="17">
        <v>0</v>
      </c>
      <c r="V454" s="17">
        <v>0</v>
      </c>
      <c r="W454" s="20">
        <v>0</v>
      </c>
      <c r="X454" s="16" t="s">
        <v>40</v>
      </c>
      <c r="Y454" s="21" t="s">
        <v>40</v>
      </c>
      <c r="Z454" s="20">
        <v>0</v>
      </c>
      <c r="AA454" s="17" t="s">
        <v>40</v>
      </c>
      <c r="AB454" s="22" t="s">
        <v>41</v>
      </c>
      <c r="AC454" s="23" t="str">
        <f t="shared" si="47"/>
        <v>E</v>
      </c>
      <c r="AD454" s="17">
        <v>0</v>
      </c>
      <c r="AE454" s="17">
        <v>0</v>
      </c>
      <c r="AF454" s="17">
        <v>0</v>
      </c>
      <c r="AG454" s="17">
        <v>0</v>
      </c>
      <c r="AH454" s="15" t="s">
        <v>42</v>
      </c>
    </row>
    <row r="455" spans="1:34">
      <c r="A455" s="13" t="str">
        <f t="shared" si="42"/>
        <v>OverStock</v>
      </c>
      <c r="B455" s="14" t="s">
        <v>358</v>
      </c>
      <c r="C455" s="15" t="s">
        <v>280</v>
      </c>
      <c r="D455" s="19">
        <f t="shared" si="43"/>
        <v>64</v>
      </c>
      <c r="E455" s="16">
        <f t="shared" si="44"/>
        <v>57.6</v>
      </c>
      <c r="F455" s="16">
        <f t="shared" si="45"/>
        <v>4</v>
      </c>
      <c r="G455" s="16">
        <f t="shared" si="46"/>
        <v>3.6</v>
      </c>
      <c r="H455" s="24" t="str">
        <f>IFERROR(VLOOKUP(B455,#REF!,8,FALSE),"")</f>
        <v/>
      </c>
      <c r="I455" s="17">
        <v>6000</v>
      </c>
      <c r="J455" s="17">
        <v>6000</v>
      </c>
      <c r="K455" s="24" t="str">
        <f>IFERROR(VLOOKUP(B455,#REF!,11,FALSE),"")</f>
        <v/>
      </c>
      <c r="L455" s="17">
        <v>96000</v>
      </c>
      <c r="M455" s="6" t="s">
        <v>760</v>
      </c>
      <c r="N455" s="18" t="str">
        <f>IFERROR(VLOOKUP(B455,#REF!,13,FALSE),"")</f>
        <v/>
      </c>
      <c r="O455" s="19" t="str">
        <f>IFERROR(VLOOKUP(B455,#REF!,14,FALSE),"")</f>
        <v/>
      </c>
      <c r="P455" s="19" t="str">
        <f>IFERROR(VLOOKUP(B455,#REF!,15,FALSE),"")</f>
        <v/>
      </c>
      <c r="Q455" s="19"/>
      <c r="R455" s="25" t="str">
        <f>IFERROR(VLOOKUP(B455,#REF!,16,FALSE),"")</f>
        <v/>
      </c>
      <c r="S455" s="17">
        <v>0</v>
      </c>
      <c r="T455" s="17">
        <v>96000</v>
      </c>
      <c r="U455" s="17">
        <v>0</v>
      </c>
      <c r="V455" s="17">
        <v>0</v>
      </c>
      <c r="W455" s="20">
        <v>102000</v>
      </c>
      <c r="X455" s="16">
        <v>68</v>
      </c>
      <c r="Y455" s="21">
        <v>61.2</v>
      </c>
      <c r="Z455" s="20">
        <v>1500</v>
      </c>
      <c r="AA455" s="17">
        <v>1667</v>
      </c>
      <c r="AB455" s="22">
        <v>1.1000000000000001</v>
      </c>
      <c r="AC455" s="23">
        <f t="shared" si="47"/>
        <v>100</v>
      </c>
      <c r="AD455" s="17">
        <v>0</v>
      </c>
      <c r="AE455" s="17">
        <v>9000</v>
      </c>
      <c r="AF455" s="17">
        <v>9000</v>
      </c>
      <c r="AG455" s="17">
        <v>3000</v>
      </c>
      <c r="AH455" s="15" t="s">
        <v>42</v>
      </c>
    </row>
    <row r="456" spans="1:34">
      <c r="A456" s="13" t="str">
        <f t="shared" si="42"/>
        <v>Normal</v>
      </c>
      <c r="B456" s="14" t="s">
        <v>360</v>
      </c>
      <c r="C456" s="15" t="s">
        <v>280</v>
      </c>
      <c r="D456" s="19">
        <f t="shared" si="43"/>
        <v>8</v>
      </c>
      <c r="E456" s="16" t="str">
        <f t="shared" si="44"/>
        <v>--</v>
      </c>
      <c r="F456" s="16">
        <f t="shared" si="45"/>
        <v>0</v>
      </c>
      <c r="G456" s="16" t="str">
        <f t="shared" si="46"/>
        <v>--</v>
      </c>
      <c r="H456" s="24" t="str">
        <f>IFERROR(VLOOKUP(B456,#REF!,8,FALSE),"")</f>
        <v/>
      </c>
      <c r="I456" s="17">
        <v>0</v>
      </c>
      <c r="J456" s="17">
        <v>0</v>
      </c>
      <c r="K456" s="24" t="str">
        <f>IFERROR(VLOOKUP(B456,#REF!,11,FALSE),"")</f>
        <v/>
      </c>
      <c r="L456" s="17">
        <v>3000</v>
      </c>
      <c r="M456" s="6" t="s">
        <v>751</v>
      </c>
      <c r="N456" s="18" t="str">
        <f>IFERROR(VLOOKUP(B456,#REF!,13,FALSE),"")</f>
        <v/>
      </c>
      <c r="O456" s="19" t="str">
        <f>IFERROR(VLOOKUP(B456,#REF!,14,FALSE),"")</f>
        <v/>
      </c>
      <c r="P456" s="19" t="str">
        <f>IFERROR(VLOOKUP(B456,#REF!,15,FALSE),"")</f>
        <v/>
      </c>
      <c r="Q456" s="19"/>
      <c r="R456" s="25" t="str">
        <f>IFERROR(VLOOKUP(B456,#REF!,16,FALSE),"")</f>
        <v/>
      </c>
      <c r="S456" s="17">
        <v>0</v>
      </c>
      <c r="T456" s="17">
        <v>3000</v>
      </c>
      <c r="U456" s="17">
        <v>0</v>
      </c>
      <c r="V456" s="17">
        <v>0</v>
      </c>
      <c r="W456" s="20">
        <v>3000</v>
      </c>
      <c r="X456" s="16">
        <v>8</v>
      </c>
      <c r="Y456" s="21" t="s">
        <v>40</v>
      </c>
      <c r="Z456" s="20">
        <v>375</v>
      </c>
      <c r="AA456" s="17">
        <v>0</v>
      </c>
      <c r="AB456" s="22" t="s">
        <v>41</v>
      </c>
      <c r="AC456" s="23" t="str">
        <f t="shared" si="47"/>
        <v>E</v>
      </c>
      <c r="AD456" s="17">
        <v>0</v>
      </c>
      <c r="AE456" s="17">
        <v>0</v>
      </c>
      <c r="AF456" s="17">
        <v>0</v>
      </c>
      <c r="AG456" s="17">
        <v>0</v>
      </c>
      <c r="AH456" s="15" t="s">
        <v>42</v>
      </c>
    </row>
    <row r="457" spans="1:34">
      <c r="A457" s="13" t="str">
        <f t="shared" si="42"/>
        <v>ZeroZero</v>
      </c>
      <c r="B457" s="14" t="s">
        <v>361</v>
      </c>
      <c r="C457" s="15" t="s">
        <v>280</v>
      </c>
      <c r="D457" s="19" t="str">
        <f t="shared" si="43"/>
        <v>前八週無拉料</v>
      </c>
      <c r="E457" s="16" t="str">
        <f t="shared" si="44"/>
        <v>--</v>
      </c>
      <c r="F457" s="16" t="str">
        <f t="shared" si="45"/>
        <v>--</v>
      </c>
      <c r="G457" s="16" t="str">
        <f t="shared" si="46"/>
        <v>--</v>
      </c>
      <c r="H457" s="24" t="str">
        <f>IFERROR(VLOOKUP(B457,#REF!,8,FALSE),"")</f>
        <v/>
      </c>
      <c r="I457" s="17">
        <v>3000</v>
      </c>
      <c r="J457" s="17">
        <v>3000</v>
      </c>
      <c r="K457" s="24" t="str">
        <f>IFERROR(VLOOKUP(B457,#REF!,11,FALSE),"")</f>
        <v/>
      </c>
      <c r="L457" s="17">
        <v>0</v>
      </c>
      <c r="M457" s="6" t="s">
        <v>758</v>
      </c>
      <c r="N457" s="18" t="str">
        <f>IFERROR(VLOOKUP(B457,#REF!,13,FALSE),"")</f>
        <v/>
      </c>
      <c r="O457" s="19" t="str">
        <f>IFERROR(VLOOKUP(B457,#REF!,14,FALSE),"")</f>
        <v/>
      </c>
      <c r="P457" s="19" t="str">
        <f>IFERROR(VLOOKUP(B457,#REF!,15,FALSE),"")</f>
        <v/>
      </c>
      <c r="Q457" s="19"/>
      <c r="R457" s="25" t="str">
        <f>IFERROR(VLOOKUP(B457,#REF!,16,FALSE),"")</f>
        <v/>
      </c>
      <c r="S457" s="17">
        <v>0</v>
      </c>
      <c r="T457" s="17">
        <v>0</v>
      </c>
      <c r="U457" s="17">
        <v>0</v>
      </c>
      <c r="V457" s="17">
        <v>0</v>
      </c>
      <c r="W457" s="20">
        <v>3000</v>
      </c>
      <c r="X457" s="16" t="s">
        <v>40</v>
      </c>
      <c r="Y457" s="21" t="s">
        <v>40</v>
      </c>
      <c r="Z457" s="20">
        <v>0</v>
      </c>
      <c r="AA457" s="17" t="s">
        <v>40</v>
      </c>
      <c r="AB457" s="22" t="s">
        <v>41</v>
      </c>
      <c r="AC457" s="23" t="str">
        <f t="shared" si="47"/>
        <v>E</v>
      </c>
      <c r="AD457" s="17">
        <v>0</v>
      </c>
      <c r="AE457" s="17">
        <v>0</v>
      </c>
      <c r="AF457" s="17">
        <v>0</v>
      </c>
      <c r="AG457" s="17">
        <v>0</v>
      </c>
      <c r="AH457" s="15" t="s">
        <v>42</v>
      </c>
    </row>
    <row r="458" spans="1:34">
      <c r="A458" s="13" t="str">
        <f t="shared" si="42"/>
        <v>OverStock</v>
      </c>
      <c r="B458" s="14" t="s">
        <v>362</v>
      </c>
      <c r="C458" s="15" t="s">
        <v>280</v>
      </c>
      <c r="D458" s="19">
        <f t="shared" si="43"/>
        <v>0.6</v>
      </c>
      <c r="E458" s="16">
        <f t="shared" si="44"/>
        <v>2.1</v>
      </c>
      <c r="F458" s="16">
        <f t="shared" si="45"/>
        <v>28.5</v>
      </c>
      <c r="G458" s="16">
        <f t="shared" si="46"/>
        <v>103.7</v>
      </c>
      <c r="H458" s="24" t="str">
        <f>IFERROR(VLOOKUP(B458,#REF!,8,FALSE),"")</f>
        <v/>
      </c>
      <c r="I458" s="17">
        <v>1314000</v>
      </c>
      <c r="J458" s="17">
        <v>321000</v>
      </c>
      <c r="K458" s="24" t="str">
        <f>IFERROR(VLOOKUP(B458,#REF!,11,FALSE),"")</f>
        <v/>
      </c>
      <c r="L458" s="17">
        <v>27000</v>
      </c>
      <c r="M458" s="6" t="s">
        <v>758</v>
      </c>
      <c r="N458" s="18" t="str">
        <f>IFERROR(VLOOKUP(B458,#REF!,13,FALSE),"")</f>
        <v/>
      </c>
      <c r="O458" s="19" t="str">
        <f>IFERROR(VLOOKUP(B458,#REF!,14,FALSE),"")</f>
        <v/>
      </c>
      <c r="P458" s="19" t="str">
        <f>IFERROR(VLOOKUP(B458,#REF!,15,FALSE),"")</f>
        <v/>
      </c>
      <c r="Q458" s="19"/>
      <c r="R458" s="25" t="str">
        <f>IFERROR(VLOOKUP(B458,#REF!,16,FALSE),"")</f>
        <v/>
      </c>
      <c r="S458" s="17">
        <v>0</v>
      </c>
      <c r="T458" s="17">
        <v>27000</v>
      </c>
      <c r="U458" s="17">
        <v>0</v>
      </c>
      <c r="V458" s="17">
        <v>0</v>
      </c>
      <c r="W458" s="20">
        <v>1341000</v>
      </c>
      <c r="X458" s="16">
        <v>29.1</v>
      </c>
      <c r="Y458" s="21">
        <v>105.9</v>
      </c>
      <c r="Z458" s="20">
        <v>46125</v>
      </c>
      <c r="AA458" s="17">
        <v>12667</v>
      </c>
      <c r="AB458" s="22">
        <v>0.3</v>
      </c>
      <c r="AC458" s="23">
        <f t="shared" si="47"/>
        <v>50</v>
      </c>
      <c r="AD458" s="17">
        <v>0</v>
      </c>
      <c r="AE458" s="17">
        <v>114000</v>
      </c>
      <c r="AF458" s="17">
        <v>0</v>
      </c>
      <c r="AG458" s="17">
        <v>1908000</v>
      </c>
      <c r="AH458" s="15" t="s">
        <v>42</v>
      </c>
    </row>
    <row r="459" spans="1:34">
      <c r="A459" s="13" t="str">
        <f t="shared" si="42"/>
        <v>OverStock</v>
      </c>
      <c r="B459" s="14" t="s">
        <v>363</v>
      </c>
      <c r="C459" s="15" t="s">
        <v>280</v>
      </c>
      <c r="D459" s="19">
        <f t="shared" si="43"/>
        <v>0</v>
      </c>
      <c r="E459" s="16" t="str">
        <f t="shared" si="44"/>
        <v>--</v>
      </c>
      <c r="F459" s="16">
        <f t="shared" si="45"/>
        <v>32</v>
      </c>
      <c r="G459" s="16" t="str">
        <f t="shared" si="46"/>
        <v>--</v>
      </c>
      <c r="H459" s="24" t="str">
        <f>IFERROR(VLOOKUP(B459,#REF!,8,FALSE),"")</f>
        <v/>
      </c>
      <c r="I459" s="17">
        <v>19200</v>
      </c>
      <c r="J459" s="17">
        <v>7200</v>
      </c>
      <c r="K459" s="24" t="str">
        <f>IFERROR(VLOOKUP(B459,#REF!,11,FALSE),"")</f>
        <v/>
      </c>
      <c r="L459" s="17">
        <v>0</v>
      </c>
      <c r="M459" s="6" t="s">
        <v>761</v>
      </c>
      <c r="N459" s="18" t="str">
        <f>IFERROR(VLOOKUP(B459,#REF!,13,FALSE),"")</f>
        <v/>
      </c>
      <c r="O459" s="19" t="str">
        <f>IFERROR(VLOOKUP(B459,#REF!,14,FALSE),"")</f>
        <v/>
      </c>
      <c r="P459" s="19" t="str">
        <f>IFERROR(VLOOKUP(B459,#REF!,15,FALSE),"")</f>
        <v/>
      </c>
      <c r="Q459" s="19"/>
      <c r="R459" s="25" t="str">
        <f>IFERROR(VLOOKUP(B459,#REF!,16,FALSE),"")</f>
        <v/>
      </c>
      <c r="S459" s="17">
        <v>0</v>
      </c>
      <c r="T459" s="17">
        <v>0</v>
      </c>
      <c r="U459" s="17">
        <v>0</v>
      </c>
      <c r="V459" s="17">
        <v>0</v>
      </c>
      <c r="W459" s="20">
        <v>19200</v>
      </c>
      <c r="X459" s="16">
        <v>32</v>
      </c>
      <c r="Y459" s="21" t="s">
        <v>40</v>
      </c>
      <c r="Z459" s="20">
        <v>600</v>
      </c>
      <c r="AA459" s="17" t="s">
        <v>40</v>
      </c>
      <c r="AB459" s="22" t="s">
        <v>41</v>
      </c>
      <c r="AC459" s="23" t="str">
        <f t="shared" si="47"/>
        <v>E</v>
      </c>
      <c r="AD459" s="17">
        <v>0</v>
      </c>
      <c r="AE459" s="17">
        <v>0</v>
      </c>
      <c r="AF459" s="17">
        <v>0</v>
      </c>
      <c r="AG459" s="17">
        <v>0</v>
      </c>
      <c r="AH459" s="15" t="s">
        <v>42</v>
      </c>
    </row>
    <row r="460" spans="1:34">
      <c r="A460" s="13" t="str">
        <f t="shared" si="42"/>
        <v>None</v>
      </c>
      <c r="B460" s="14" t="s">
        <v>364</v>
      </c>
      <c r="C460" s="15" t="s">
        <v>280</v>
      </c>
      <c r="D460" s="19" t="str">
        <f t="shared" si="43"/>
        <v>前八週無拉料</v>
      </c>
      <c r="E460" s="16" t="str">
        <f t="shared" si="44"/>
        <v>--</v>
      </c>
      <c r="F460" s="16" t="str">
        <f t="shared" si="45"/>
        <v>--</v>
      </c>
      <c r="G460" s="16" t="str">
        <f t="shared" si="46"/>
        <v>--</v>
      </c>
      <c r="H460" s="24" t="str">
        <f>IFERROR(VLOOKUP(B460,#REF!,8,FALSE),"")</f>
        <v/>
      </c>
      <c r="I460" s="17">
        <v>0</v>
      </c>
      <c r="J460" s="17">
        <v>0</v>
      </c>
      <c r="K460" s="24" t="str">
        <f>IFERROR(VLOOKUP(B460,#REF!,11,FALSE),"")</f>
        <v/>
      </c>
      <c r="L460" s="17">
        <v>0</v>
      </c>
      <c r="M460" s="6" t="s">
        <v>758</v>
      </c>
      <c r="N460" s="18" t="str">
        <f>IFERROR(VLOOKUP(B460,#REF!,13,FALSE),"")</f>
        <v/>
      </c>
      <c r="O460" s="19" t="str">
        <f>IFERROR(VLOOKUP(B460,#REF!,14,FALSE),"")</f>
        <v/>
      </c>
      <c r="P460" s="19" t="str">
        <f>IFERROR(VLOOKUP(B460,#REF!,15,FALSE),"")</f>
        <v/>
      </c>
      <c r="Q460" s="19"/>
      <c r="R460" s="25" t="str">
        <f>IFERROR(VLOOKUP(B460,#REF!,16,FALSE),"")</f>
        <v/>
      </c>
      <c r="S460" s="17">
        <v>0</v>
      </c>
      <c r="T460" s="17">
        <v>0</v>
      </c>
      <c r="U460" s="17">
        <v>0</v>
      </c>
      <c r="V460" s="17">
        <v>0</v>
      </c>
      <c r="W460" s="20">
        <v>0</v>
      </c>
      <c r="X460" s="16" t="s">
        <v>40</v>
      </c>
      <c r="Y460" s="21" t="s">
        <v>40</v>
      </c>
      <c r="Z460" s="20">
        <v>0</v>
      </c>
      <c r="AA460" s="17">
        <v>0</v>
      </c>
      <c r="AB460" s="22" t="s">
        <v>41</v>
      </c>
      <c r="AC460" s="23" t="str">
        <f t="shared" si="47"/>
        <v>E</v>
      </c>
      <c r="AD460" s="17">
        <v>0</v>
      </c>
      <c r="AE460" s="17">
        <v>0</v>
      </c>
      <c r="AF460" s="17">
        <v>0</v>
      </c>
      <c r="AG460" s="17">
        <v>0</v>
      </c>
      <c r="AH460" s="15" t="s">
        <v>42</v>
      </c>
    </row>
    <row r="461" spans="1:34">
      <c r="A461" s="13" t="str">
        <f t="shared" si="42"/>
        <v>FCST</v>
      </c>
      <c r="B461" s="14" t="s">
        <v>365</v>
      </c>
      <c r="C461" s="15" t="s">
        <v>280</v>
      </c>
      <c r="D461" s="19" t="str">
        <f t="shared" si="43"/>
        <v>前八週無拉料</v>
      </c>
      <c r="E461" s="16">
        <f t="shared" si="44"/>
        <v>0</v>
      </c>
      <c r="F461" s="16" t="str">
        <f t="shared" si="45"/>
        <v>--</v>
      </c>
      <c r="G461" s="16">
        <f t="shared" si="46"/>
        <v>0</v>
      </c>
      <c r="H461" s="24" t="str">
        <f>IFERROR(VLOOKUP(B461,#REF!,8,FALSE),"")</f>
        <v/>
      </c>
      <c r="I461" s="17">
        <v>0</v>
      </c>
      <c r="J461" s="17">
        <v>0</v>
      </c>
      <c r="K461" s="24" t="str">
        <f>IFERROR(VLOOKUP(B461,#REF!,11,FALSE),"")</f>
        <v/>
      </c>
      <c r="L461" s="17">
        <v>0</v>
      </c>
      <c r="M461" s="6" t="s">
        <v>758</v>
      </c>
      <c r="N461" s="18" t="str">
        <f>IFERROR(VLOOKUP(B461,#REF!,13,FALSE),"")</f>
        <v/>
      </c>
      <c r="O461" s="19" t="str">
        <f>IFERROR(VLOOKUP(B461,#REF!,14,FALSE),"")</f>
        <v/>
      </c>
      <c r="P461" s="19" t="str">
        <f>IFERROR(VLOOKUP(B461,#REF!,15,FALSE),"")</f>
        <v/>
      </c>
      <c r="Q461" s="19"/>
      <c r="R461" s="25" t="str">
        <f>IFERROR(VLOOKUP(B461,#REF!,16,FALSE),"")</f>
        <v/>
      </c>
      <c r="S461" s="17">
        <v>0</v>
      </c>
      <c r="T461" s="17">
        <v>0</v>
      </c>
      <c r="U461" s="17">
        <v>0</v>
      </c>
      <c r="V461" s="17">
        <v>0</v>
      </c>
      <c r="W461" s="20">
        <v>0</v>
      </c>
      <c r="X461" s="16" t="s">
        <v>40</v>
      </c>
      <c r="Y461" s="21">
        <v>0</v>
      </c>
      <c r="Z461" s="20">
        <v>0</v>
      </c>
      <c r="AA461" s="17">
        <v>22</v>
      </c>
      <c r="AB461" s="22" t="s">
        <v>51</v>
      </c>
      <c r="AC461" s="23" t="str">
        <f t="shared" si="47"/>
        <v>F</v>
      </c>
      <c r="AD461" s="17">
        <v>0</v>
      </c>
      <c r="AE461" s="17">
        <v>200</v>
      </c>
      <c r="AF461" s="17">
        <v>0</v>
      </c>
      <c r="AG461" s="17">
        <v>0</v>
      </c>
      <c r="AH461" s="15" t="s">
        <v>42</v>
      </c>
    </row>
    <row r="462" spans="1:34">
      <c r="A462" s="13" t="str">
        <f t="shared" si="42"/>
        <v>Normal</v>
      </c>
      <c r="B462" s="14" t="s">
        <v>366</v>
      </c>
      <c r="C462" s="15" t="s">
        <v>280</v>
      </c>
      <c r="D462" s="19">
        <f t="shared" si="43"/>
        <v>0</v>
      </c>
      <c r="E462" s="16" t="str">
        <f t="shared" si="44"/>
        <v>--</v>
      </c>
      <c r="F462" s="16">
        <f t="shared" si="45"/>
        <v>11.1</v>
      </c>
      <c r="G462" s="16" t="str">
        <f t="shared" si="46"/>
        <v>--</v>
      </c>
      <c r="H462" s="24" t="str">
        <f>IFERROR(VLOOKUP(B462,#REF!,8,FALSE),"")</f>
        <v/>
      </c>
      <c r="I462" s="17">
        <v>2500</v>
      </c>
      <c r="J462" s="17">
        <v>0</v>
      </c>
      <c r="K462" s="24" t="str">
        <f>IFERROR(VLOOKUP(B462,#REF!,11,FALSE),"")</f>
        <v/>
      </c>
      <c r="L462" s="17">
        <v>0</v>
      </c>
      <c r="M462" s="6" t="s">
        <v>758</v>
      </c>
      <c r="N462" s="18" t="str">
        <f>IFERROR(VLOOKUP(B462,#REF!,13,FALSE),"")</f>
        <v/>
      </c>
      <c r="O462" s="19" t="str">
        <f>IFERROR(VLOOKUP(B462,#REF!,14,FALSE),"")</f>
        <v/>
      </c>
      <c r="P462" s="19" t="str">
        <f>IFERROR(VLOOKUP(B462,#REF!,15,FALSE),"")</f>
        <v/>
      </c>
      <c r="Q462" s="19"/>
      <c r="R462" s="25" t="str">
        <f>IFERROR(VLOOKUP(B462,#REF!,16,FALSE),"")</f>
        <v/>
      </c>
      <c r="S462" s="17">
        <v>0</v>
      </c>
      <c r="T462" s="17">
        <v>0</v>
      </c>
      <c r="U462" s="17">
        <v>0</v>
      </c>
      <c r="V462" s="17">
        <v>0</v>
      </c>
      <c r="W462" s="20">
        <v>2500</v>
      </c>
      <c r="X462" s="16">
        <v>11.1</v>
      </c>
      <c r="Y462" s="21" t="s">
        <v>40</v>
      </c>
      <c r="Z462" s="20">
        <v>225</v>
      </c>
      <c r="AA462" s="17" t="s">
        <v>40</v>
      </c>
      <c r="AB462" s="22" t="s">
        <v>41</v>
      </c>
      <c r="AC462" s="23" t="str">
        <f t="shared" si="47"/>
        <v>E</v>
      </c>
      <c r="AD462" s="17">
        <v>0</v>
      </c>
      <c r="AE462" s="17">
        <v>0</v>
      </c>
      <c r="AF462" s="17">
        <v>0</v>
      </c>
      <c r="AG462" s="17">
        <v>0</v>
      </c>
      <c r="AH462" s="15" t="s">
        <v>42</v>
      </c>
    </row>
    <row r="463" spans="1:34">
      <c r="A463" s="13" t="str">
        <f t="shared" si="42"/>
        <v>None</v>
      </c>
      <c r="B463" s="14" t="s">
        <v>367</v>
      </c>
      <c r="C463" s="15" t="s">
        <v>280</v>
      </c>
      <c r="D463" s="19" t="str">
        <f t="shared" si="43"/>
        <v>前八週無拉料</v>
      </c>
      <c r="E463" s="16" t="str">
        <f t="shared" si="44"/>
        <v>--</v>
      </c>
      <c r="F463" s="16" t="str">
        <f t="shared" si="45"/>
        <v>--</v>
      </c>
      <c r="G463" s="16" t="str">
        <f t="shared" si="46"/>
        <v>--</v>
      </c>
      <c r="H463" s="24" t="str">
        <f>IFERROR(VLOOKUP(B463,#REF!,8,FALSE),"")</f>
        <v/>
      </c>
      <c r="I463" s="17">
        <v>0</v>
      </c>
      <c r="J463" s="17">
        <v>0</v>
      </c>
      <c r="K463" s="24" t="str">
        <f>IFERROR(VLOOKUP(B463,#REF!,11,FALSE),"")</f>
        <v/>
      </c>
      <c r="L463" s="17">
        <v>0</v>
      </c>
      <c r="M463" s="6" t="s">
        <v>748</v>
      </c>
      <c r="N463" s="18" t="str">
        <f>IFERROR(VLOOKUP(B463,#REF!,13,FALSE),"")</f>
        <v/>
      </c>
      <c r="O463" s="19" t="str">
        <f>IFERROR(VLOOKUP(B463,#REF!,14,FALSE),"")</f>
        <v/>
      </c>
      <c r="P463" s="19" t="str">
        <f>IFERROR(VLOOKUP(B463,#REF!,15,FALSE),"")</f>
        <v/>
      </c>
      <c r="Q463" s="19"/>
      <c r="R463" s="25" t="str">
        <f>IFERROR(VLOOKUP(B463,#REF!,16,FALSE),"")</f>
        <v/>
      </c>
      <c r="S463" s="17">
        <v>0</v>
      </c>
      <c r="T463" s="17">
        <v>0</v>
      </c>
      <c r="U463" s="17">
        <v>0</v>
      </c>
      <c r="V463" s="17">
        <v>0</v>
      </c>
      <c r="W463" s="20">
        <v>0</v>
      </c>
      <c r="X463" s="16" t="s">
        <v>40</v>
      </c>
      <c r="Y463" s="21" t="s">
        <v>40</v>
      </c>
      <c r="Z463" s="20">
        <v>0</v>
      </c>
      <c r="AA463" s="17">
        <v>0</v>
      </c>
      <c r="AB463" s="22" t="s">
        <v>41</v>
      </c>
      <c r="AC463" s="23" t="str">
        <f t="shared" si="47"/>
        <v>E</v>
      </c>
      <c r="AD463" s="17">
        <v>0</v>
      </c>
      <c r="AE463" s="17">
        <v>0</v>
      </c>
      <c r="AF463" s="17">
        <v>0</v>
      </c>
      <c r="AG463" s="17">
        <v>0</v>
      </c>
      <c r="AH463" s="15" t="s">
        <v>42</v>
      </c>
    </row>
    <row r="464" spans="1:34">
      <c r="A464" s="13" t="str">
        <f t="shared" si="42"/>
        <v>Normal</v>
      </c>
      <c r="B464" s="14" t="s">
        <v>369</v>
      </c>
      <c r="C464" s="15" t="s">
        <v>280</v>
      </c>
      <c r="D464" s="19">
        <f t="shared" si="43"/>
        <v>2</v>
      </c>
      <c r="E464" s="16">
        <f t="shared" si="44"/>
        <v>6.6</v>
      </c>
      <c r="F464" s="16">
        <f t="shared" si="45"/>
        <v>2</v>
      </c>
      <c r="G464" s="16">
        <f t="shared" si="46"/>
        <v>6.6</v>
      </c>
      <c r="H464" s="24" t="str">
        <f>IFERROR(VLOOKUP(B464,#REF!,8,FALSE),"")</f>
        <v/>
      </c>
      <c r="I464" s="17">
        <v>5000</v>
      </c>
      <c r="J464" s="17">
        <v>5000</v>
      </c>
      <c r="K464" s="24" t="str">
        <f>IFERROR(VLOOKUP(B464,#REF!,11,FALSE),"")</f>
        <v/>
      </c>
      <c r="L464" s="17">
        <v>5000</v>
      </c>
      <c r="M464" s="6" t="s">
        <v>748</v>
      </c>
      <c r="N464" s="18" t="str">
        <f>IFERROR(VLOOKUP(B464,#REF!,13,FALSE),"")</f>
        <v/>
      </c>
      <c r="O464" s="19" t="str">
        <f>IFERROR(VLOOKUP(B464,#REF!,14,FALSE),"")</f>
        <v/>
      </c>
      <c r="P464" s="19" t="str">
        <f>IFERROR(VLOOKUP(B464,#REF!,15,FALSE),"")</f>
        <v/>
      </c>
      <c r="Q464" s="19"/>
      <c r="R464" s="25" t="str">
        <f>IFERROR(VLOOKUP(B464,#REF!,16,FALSE),"")</f>
        <v/>
      </c>
      <c r="S464" s="17">
        <v>0</v>
      </c>
      <c r="T464" s="17">
        <v>5000</v>
      </c>
      <c r="U464" s="17">
        <v>0</v>
      </c>
      <c r="V464" s="17">
        <v>0</v>
      </c>
      <c r="W464" s="20">
        <v>10000</v>
      </c>
      <c r="X464" s="16">
        <v>4</v>
      </c>
      <c r="Y464" s="21">
        <v>13.2</v>
      </c>
      <c r="Z464" s="20">
        <v>2500</v>
      </c>
      <c r="AA464" s="17">
        <v>755</v>
      </c>
      <c r="AB464" s="22">
        <v>0.3</v>
      </c>
      <c r="AC464" s="23">
        <f t="shared" si="47"/>
        <v>50</v>
      </c>
      <c r="AD464" s="17">
        <v>7240</v>
      </c>
      <c r="AE464" s="17">
        <v>6796</v>
      </c>
      <c r="AF464" s="17">
        <v>2116</v>
      </c>
      <c r="AG464" s="17">
        <v>0</v>
      </c>
      <c r="AH464" s="15" t="s">
        <v>42</v>
      </c>
    </row>
    <row r="465" spans="1:34">
      <c r="A465" s="13" t="str">
        <f t="shared" si="42"/>
        <v>ZeroZero</v>
      </c>
      <c r="B465" s="14" t="s">
        <v>370</v>
      </c>
      <c r="C465" s="15" t="s">
        <v>280</v>
      </c>
      <c r="D465" s="19" t="str">
        <f t="shared" si="43"/>
        <v>前八週無拉料</v>
      </c>
      <c r="E465" s="16" t="str">
        <f t="shared" si="44"/>
        <v>--</v>
      </c>
      <c r="F465" s="16" t="str">
        <f t="shared" si="45"/>
        <v>--</v>
      </c>
      <c r="G465" s="16" t="str">
        <f t="shared" si="46"/>
        <v>--</v>
      </c>
      <c r="H465" s="24" t="str">
        <f>IFERROR(VLOOKUP(B465,#REF!,8,FALSE),"")</f>
        <v/>
      </c>
      <c r="I465" s="17">
        <v>2500</v>
      </c>
      <c r="J465" s="17">
        <v>0</v>
      </c>
      <c r="K465" s="24" t="str">
        <f>IFERROR(VLOOKUP(B465,#REF!,11,FALSE),"")</f>
        <v/>
      </c>
      <c r="L465" s="17">
        <v>0</v>
      </c>
      <c r="M465" s="6" t="s">
        <v>748</v>
      </c>
      <c r="N465" s="18" t="str">
        <f>IFERROR(VLOOKUP(B465,#REF!,13,FALSE),"")</f>
        <v/>
      </c>
      <c r="O465" s="19" t="str">
        <f>IFERROR(VLOOKUP(B465,#REF!,14,FALSE),"")</f>
        <v/>
      </c>
      <c r="P465" s="19" t="str">
        <f>IFERROR(VLOOKUP(B465,#REF!,15,FALSE),"")</f>
        <v/>
      </c>
      <c r="Q465" s="19"/>
      <c r="R465" s="25" t="str">
        <f>IFERROR(VLOOKUP(B465,#REF!,16,FALSE),"")</f>
        <v/>
      </c>
      <c r="S465" s="17">
        <v>0</v>
      </c>
      <c r="T465" s="17">
        <v>0</v>
      </c>
      <c r="U465" s="17">
        <v>0</v>
      </c>
      <c r="V465" s="17">
        <v>0</v>
      </c>
      <c r="W465" s="20">
        <v>2500</v>
      </c>
      <c r="X465" s="16" t="s">
        <v>40</v>
      </c>
      <c r="Y465" s="21" t="s">
        <v>40</v>
      </c>
      <c r="Z465" s="20">
        <v>0</v>
      </c>
      <c r="AA465" s="17" t="s">
        <v>40</v>
      </c>
      <c r="AB465" s="22" t="s">
        <v>41</v>
      </c>
      <c r="AC465" s="23" t="str">
        <f t="shared" si="47"/>
        <v>E</v>
      </c>
      <c r="AD465" s="17">
        <v>0</v>
      </c>
      <c r="AE465" s="17">
        <v>0</v>
      </c>
      <c r="AF465" s="17">
        <v>0</v>
      </c>
      <c r="AG465" s="17">
        <v>0</v>
      </c>
      <c r="AH465" s="15" t="s">
        <v>42</v>
      </c>
    </row>
    <row r="466" spans="1:34">
      <c r="A466" s="13" t="str">
        <f t="shared" si="42"/>
        <v>ZeroZero</v>
      </c>
      <c r="B466" s="14" t="s">
        <v>371</v>
      </c>
      <c r="C466" s="15" t="s">
        <v>280</v>
      </c>
      <c r="D466" s="19" t="str">
        <f t="shared" si="43"/>
        <v>前八週無拉料</v>
      </c>
      <c r="E466" s="16" t="str">
        <f t="shared" si="44"/>
        <v>--</v>
      </c>
      <c r="F466" s="16" t="str">
        <f t="shared" si="45"/>
        <v>--</v>
      </c>
      <c r="G466" s="16" t="str">
        <f t="shared" si="46"/>
        <v>--</v>
      </c>
      <c r="H466" s="24" t="str">
        <f>IFERROR(VLOOKUP(B466,#REF!,8,FALSE),"")</f>
        <v/>
      </c>
      <c r="I466" s="17">
        <v>87500</v>
      </c>
      <c r="J466" s="17">
        <v>87500</v>
      </c>
      <c r="K466" s="24" t="str">
        <f>IFERROR(VLOOKUP(B466,#REF!,11,FALSE),"")</f>
        <v/>
      </c>
      <c r="L466" s="17">
        <v>0</v>
      </c>
      <c r="M466" s="6" t="s">
        <v>748</v>
      </c>
      <c r="N466" s="18" t="str">
        <f>IFERROR(VLOOKUP(B466,#REF!,13,FALSE),"")</f>
        <v/>
      </c>
      <c r="O466" s="19" t="str">
        <f>IFERROR(VLOOKUP(B466,#REF!,14,FALSE),"")</f>
        <v/>
      </c>
      <c r="P466" s="19" t="str">
        <f>IFERROR(VLOOKUP(B466,#REF!,15,FALSE),"")</f>
        <v/>
      </c>
      <c r="Q466" s="19"/>
      <c r="R466" s="25" t="str">
        <f>IFERROR(VLOOKUP(B466,#REF!,16,FALSE),"")</f>
        <v/>
      </c>
      <c r="S466" s="17">
        <v>0</v>
      </c>
      <c r="T466" s="17">
        <v>0</v>
      </c>
      <c r="U466" s="17">
        <v>0</v>
      </c>
      <c r="V466" s="17">
        <v>0</v>
      </c>
      <c r="W466" s="20">
        <v>87500</v>
      </c>
      <c r="X466" s="16" t="s">
        <v>40</v>
      </c>
      <c r="Y466" s="21" t="s">
        <v>40</v>
      </c>
      <c r="Z466" s="20">
        <v>0</v>
      </c>
      <c r="AA466" s="17" t="s">
        <v>40</v>
      </c>
      <c r="AB466" s="22" t="s">
        <v>41</v>
      </c>
      <c r="AC466" s="23" t="str">
        <f t="shared" si="47"/>
        <v>E</v>
      </c>
      <c r="AD466" s="17">
        <v>0</v>
      </c>
      <c r="AE466" s="17">
        <v>0</v>
      </c>
      <c r="AF466" s="17">
        <v>0</v>
      </c>
      <c r="AG466" s="17">
        <v>0</v>
      </c>
      <c r="AH466" s="15" t="s">
        <v>42</v>
      </c>
    </row>
    <row r="467" spans="1:34">
      <c r="A467" s="13" t="str">
        <f t="shared" si="42"/>
        <v>Normal</v>
      </c>
      <c r="B467" s="14" t="s">
        <v>372</v>
      </c>
      <c r="C467" s="15" t="s">
        <v>280</v>
      </c>
      <c r="D467" s="19">
        <f t="shared" si="43"/>
        <v>2.6</v>
      </c>
      <c r="E467" s="16" t="str">
        <f t="shared" si="44"/>
        <v>--</v>
      </c>
      <c r="F467" s="16">
        <f t="shared" si="45"/>
        <v>12.3</v>
      </c>
      <c r="G467" s="16" t="str">
        <f t="shared" si="46"/>
        <v>--</v>
      </c>
      <c r="H467" s="24" t="str">
        <f>IFERROR(VLOOKUP(B467,#REF!,8,FALSE),"")</f>
        <v/>
      </c>
      <c r="I467" s="17">
        <v>100000</v>
      </c>
      <c r="J467" s="17">
        <v>0</v>
      </c>
      <c r="K467" s="24" t="str">
        <f>IFERROR(VLOOKUP(B467,#REF!,11,FALSE),"")</f>
        <v/>
      </c>
      <c r="L467" s="17">
        <v>21500</v>
      </c>
      <c r="M467" s="6" t="s">
        <v>751</v>
      </c>
      <c r="N467" s="18" t="str">
        <f>IFERROR(VLOOKUP(B467,#REF!,13,FALSE),"")</f>
        <v/>
      </c>
      <c r="O467" s="19" t="str">
        <f>IFERROR(VLOOKUP(B467,#REF!,14,FALSE),"")</f>
        <v/>
      </c>
      <c r="P467" s="19" t="str">
        <f>IFERROR(VLOOKUP(B467,#REF!,15,FALSE),"")</f>
        <v/>
      </c>
      <c r="Q467" s="19"/>
      <c r="R467" s="25" t="str">
        <f>IFERROR(VLOOKUP(B467,#REF!,16,FALSE),"")</f>
        <v/>
      </c>
      <c r="S467" s="17">
        <v>0</v>
      </c>
      <c r="T467" s="17">
        <v>21500</v>
      </c>
      <c r="U467" s="17">
        <v>0</v>
      </c>
      <c r="V467" s="17">
        <v>0</v>
      </c>
      <c r="W467" s="20">
        <v>121500</v>
      </c>
      <c r="X467" s="16">
        <v>15</v>
      </c>
      <c r="Y467" s="21" t="s">
        <v>40</v>
      </c>
      <c r="Z467" s="20">
        <v>8125</v>
      </c>
      <c r="AA467" s="17" t="s">
        <v>40</v>
      </c>
      <c r="AB467" s="22" t="s">
        <v>41</v>
      </c>
      <c r="AC467" s="23" t="str">
        <f t="shared" si="47"/>
        <v>E</v>
      </c>
      <c r="AD467" s="17">
        <v>0</v>
      </c>
      <c r="AE467" s="17">
        <v>0</v>
      </c>
      <c r="AF467" s="17">
        <v>0</v>
      </c>
      <c r="AG467" s="17">
        <v>0</v>
      </c>
      <c r="AH467" s="15" t="s">
        <v>42</v>
      </c>
    </row>
    <row r="468" spans="1:34">
      <c r="A468" s="13" t="str">
        <f t="shared" si="42"/>
        <v>Normal</v>
      </c>
      <c r="B468" s="14" t="s">
        <v>373</v>
      </c>
      <c r="C468" s="15" t="s">
        <v>280</v>
      </c>
      <c r="D468" s="19">
        <f t="shared" si="43"/>
        <v>1.8</v>
      </c>
      <c r="E468" s="16">
        <f t="shared" si="44"/>
        <v>8.8000000000000007</v>
      </c>
      <c r="F468" s="16">
        <f t="shared" si="45"/>
        <v>12.9</v>
      </c>
      <c r="G468" s="16">
        <f t="shared" si="46"/>
        <v>64</v>
      </c>
      <c r="H468" s="24" t="str">
        <f>IFERROR(VLOOKUP(B468,#REF!,8,FALSE),"")</f>
        <v/>
      </c>
      <c r="I468" s="17">
        <v>145000</v>
      </c>
      <c r="J468" s="17">
        <v>115000</v>
      </c>
      <c r="K468" s="24" t="str">
        <f>IFERROR(VLOOKUP(B468,#REF!,11,FALSE),"")</f>
        <v/>
      </c>
      <c r="L468" s="17">
        <v>20000</v>
      </c>
      <c r="M468" s="6" t="s">
        <v>748</v>
      </c>
      <c r="N468" s="18" t="str">
        <f>IFERROR(VLOOKUP(B468,#REF!,13,FALSE),"")</f>
        <v/>
      </c>
      <c r="O468" s="19" t="str">
        <f>IFERROR(VLOOKUP(B468,#REF!,14,FALSE),"")</f>
        <v/>
      </c>
      <c r="P468" s="19" t="str">
        <f>IFERROR(VLOOKUP(B468,#REF!,15,FALSE),"")</f>
        <v/>
      </c>
      <c r="Q468" s="19"/>
      <c r="R468" s="25" t="str">
        <f>IFERROR(VLOOKUP(B468,#REF!,16,FALSE),"")</f>
        <v/>
      </c>
      <c r="S468" s="17">
        <v>0</v>
      </c>
      <c r="T468" s="17">
        <v>20000</v>
      </c>
      <c r="U468" s="17">
        <v>0</v>
      </c>
      <c r="V468" s="17">
        <v>0</v>
      </c>
      <c r="W468" s="20">
        <v>165000</v>
      </c>
      <c r="X468" s="16">
        <v>14.7</v>
      </c>
      <c r="Y468" s="21">
        <v>72.8</v>
      </c>
      <c r="Z468" s="20">
        <v>11250</v>
      </c>
      <c r="AA468" s="17">
        <v>2265</v>
      </c>
      <c r="AB468" s="22">
        <v>0.2</v>
      </c>
      <c r="AC468" s="23">
        <f t="shared" si="47"/>
        <v>50</v>
      </c>
      <c r="AD468" s="17">
        <v>21720</v>
      </c>
      <c r="AE468" s="17">
        <v>20388</v>
      </c>
      <c r="AF468" s="17">
        <v>6348</v>
      </c>
      <c r="AG468" s="17">
        <v>0</v>
      </c>
      <c r="AH468" s="15" t="s">
        <v>42</v>
      </c>
    </row>
    <row r="469" spans="1:34">
      <c r="A469" s="13" t="str">
        <f t="shared" si="42"/>
        <v>Normal</v>
      </c>
      <c r="B469" s="14" t="s">
        <v>377</v>
      </c>
      <c r="C469" s="15" t="s">
        <v>280</v>
      </c>
      <c r="D469" s="19">
        <f t="shared" si="43"/>
        <v>0</v>
      </c>
      <c r="E469" s="16" t="str">
        <f t="shared" si="44"/>
        <v>--</v>
      </c>
      <c r="F469" s="16">
        <f t="shared" si="45"/>
        <v>16</v>
      </c>
      <c r="G469" s="16" t="str">
        <f t="shared" si="46"/>
        <v>--</v>
      </c>
      <c r="H469" s="24" t="str">
        <f>IFERROR(VLOOKUP(B469,#REF!,8,FALSE),"")</f>
        <v/>
      </c>
      <c r="I469" s="17">
        <v>10000</v>
      </c>
      <c r="J469" s="17">
        <v>0</v>
      </c>
      <c r="K469" s="24" t="str">
        <f>IFERROR(VLOOKUP(B469,#REF!,11,FALSE),"")</f>
        <v/>
      </c>
      <c r="L469" s="17">
        <v>0</v>
      </c>
      <c r="M469" s="6" t="s">
        <v>751</v>
      </c>
      <c r="N469" s="18" t="str">
        <f>IFERROR(VLOOKUP(B469,#REF!,13,FALSE),"")</f>
        <v/>
      </c>
      <c r="O469" s="19" t="str">
        <f>IFERROR(VLOOKUP(B469,#REF!,14,FALSE),"")</f>
        <v/>
      </c>
      <c r="P469" s="19" t="str">
        <f>IFERROR(VLOOKUP(B469,#REF!,15,FALSE),"")</f>
        <v/>
      </c>
      <c r="Q469" s="19"/>
      <c r="R469" s="25" t="str">
        <f>IFERROR(VLOOKUP(B469,#REF!,16,FALSE),"")</f>
        <v/>
      </c>
      <c r="S469" s="17">
        <v>0</v>
      </c>
      <c r="T469" s="17">
        <v>0</v>
      </c>
      <c r="U469" s="17">
        <v>0</v>
      </c>
      <c r="V469" s="17">
        <v>0</v>
      </c>
      <c r="W469" s="20">
        <v>10000</v>
      </c>
      <c r="X469" s="16">
        <v>16</v>
      </c>
      <c r="Y469" s="21" t="s">
        <v>40</v>
      </c>
      <c r="Z469" s="20">
        <v>626</v>
      </c>
      <c r="AA469" s="17" t="s">
        <v>40</v>
      </c>
      <c r="AB469" s="22" t="s">
        <v>41</v>
      </c>
      <c r="AC469" s="23" t="str">
        <f t="shared" si="47"/>
        <v>E</v>
      </c>
      <c r="AD469" s="17">
        <v>0</v>
      </c>
      <c r="AE469" s="17">
        <v>0</v>
      </c>
      <c r="AF469" s="17">
        <v>0</v>
      </c>
      <c r="AG469" s="17">
        <v>0</v>
      </c>
      <c r="AH469" s="15" t="s">
        <v>42</v>
      </c>
    </row>
    <row r="470" spans="1:34">
      <c r="A470" s="13" t="str">
        <f t="shared" si="42"/>
        <v>OverStock</v>
      </c>
      <c r="B470" s="14" t="s">
        <v>378</v>
      </c>
      <c r="C470" s="15" t="s">
        <v>280</v>
      </c>
      <c r="D470" s="19">
        <f t="shared" si="43"/>
        <v>8</v>
      </c>
      <c r="E470" s="16">
        <f t="shared" si="44"/>
        <v>3.6</v>
      </c>
      <c r="F470" s="16">
        <f t="shared" si="45"/>
        <v>12</v>
      </c>
      <c r="G470" s="16">
        <f t="shared" si="46"/>
        <v>5.4</v>
      </c>
      <c r="H470" s="24" t="str">
        <f>IFERROR(VLOOKUP(B470,#REF!,8,FALSE),"")</f>
        <v/>
      </c>
      <c r="I470" s="17">
        <v>7500</v>
      </c>
      <c r="J470" s="17">
        <v>0</v>
      </c>
      <c r="K470" s="24" t="str">
        <f>IFERROR(VLOOKUP(B470,#REF!,11,FALSE),"")</f>
        <v/>
      </c>
      <c r="L470" s="17">
        <v>5000</v>
      </c>
      <c r="M470" s="6" t="s">
        <v>758</v>
      </c>
      <c r="N470" s="18" t="str">
        <f>IFERROR(VLOOKUP(B470,#REF!,13,FALSE),"")</f>
        <v/>
      </c>
      <c r="O470" s="19" t="str">
        <f>IFERROR(VLOOKUP(B470,#REF!,14,FALSE),"")</f>
        <v/>
      </c>
      <c r="P470" s="19" t="str">
        <f>IFERROR(VLOOKUP(B470,#REF!,15,FALSE),"")</f>
        <v/>
      </c>
      <c r="Q470" s="19"/>
      <c r="R470" s="25" t="str">
        <f>IFERROR(VLOOKUP(B470,#REF!,16,FALSE),"")</f>
        <v/>
      </c>
      <c r="S470" s="17">
        <v>0</v>
      </c>
      <c r="T470" s="17">
        <v>5000</v>
      </c>
      <c r="U470" s="17">
        <v>0</v>
      </c>
      <c r="V470" s="17">
        <v>0</v>
      </c>
      <c r="W470" s="20">
        <v>12500</v>
      </c>
      <c r="X470" s="16">
        <v>20</v>
      </c>
      <c r="Y470" s="21">
        <v>9</v>
      </c>
      <c r="Z470" s="20">
        <v>625</v>
      </c>
      <c r="AA470" s="17">
        <v>1389</v>
      </c>
      <c r="AB470" s="22">
        <v>2.2000000000000002</v>
      </c>
      <c r="AC470" s="23">
        <f t="shared" si="47"/>
        <v>150</v>
      </c>
      <c r="AD470" s="17">
        <v>0</v>
      </c>
      <c r="AE470" s="17">
        <v>12500</v>
      </c>
      <c r="AF470" s="17">
        <v>0</v>
      </c>
      <c r="AG470" s="17">
        <v>40000</v>
      </c>
      <c r="AH470" s="15" t="s">
        <v>42</v>
      </c>
    </row>
    <row r="471" spans="1:34">
      <c r="A471" s="13" t="str">
        <f t="shared" si="42"/>
        <v>OverStock</v>
      </c>
      <c r="B471" s="14" t="s">
        <v>379</v>
      </c>
      <c r="C471" s="15" t="s">
        <v>280</v>
      </c>
      <c r="D471" s="19">
        <f t="shared" si="43"/>
        <v>18.7</v>
      </c>
      <c r="E471" s="16" t="str">
        <f t="shared" si="44"/>
        <v>--</v>
      </c>
      <c r="F471" s="16">
        <f t="shared" si="45"/>
        <v>0</v>
      </c>
      <c r="G471" s="16" t="str">
        <f t="shared" si="46"/>
        <v>--</v>
      </c>
      <c r="H471" s="24" t="str">
        <f>IFERROR(VLOOKUP(B471,#REF!,8,FALSE),"")</f>
        <v/>
      </c>
      <c r="I471" s="17">
        <v>0</v>
      </c>
      <c r="J471" s="17">
        <v>0</v>
      </c>
      <c r="K471" s="24" t="str">
        <f>IFERROR(VLOOKUP(B471,#REF!,11,FALSE),"")</f>
        <v/>
      </c>
      <c r="L471" s="17">
        <v>40950</v>
      </c>
      <c r="M471" s="6" t="s">
        <v>755</v>
      </c>
      <c r="N471" s="18" t="str">
        <f>IFERROR(VLOOKUP(B471,#REF!,13,FALSE),"")</f>
        <v/>
      </c>
      <c r="O471" s="19" t="str">
        <f>IFERROR(VLOOKUP(B471,#REF!,14,FALSE),"")</f>
        <v/>
      </c>
      <c r="P471" s="19" t="str">
        <f>IFERROR(VLOOKUP(B471,#REF!,15,FALSE),"")</f>
        <v/>
      </c>
      <c r="Q471" s="19"/>
      <c r="R471" s="25" t="str">
        <f>IFERROR(VLOOKUP(B471,#REF!,16,FALSE),"")</f>
        <v/>
      </c>
      <c r="S471" s="17">
        <v>0</v>
      </c>
      <c r="T471" s="17">
        <v>40950</v>
      </c>
      <c r="U471" s="17">
        <v>0</v>
      </c>
      <c r="V471" s="17">
        <v>0</v>
      </c>
      <c r="W471" s="20">
        <v>40950</v>
      </c>
      <c r="X471" s="16">
        <v>18.7</v>
      </c>
      <c r="Y471" s="21" t="s">
        <v>40</v>
      </c>
      <c r="Z471" s="20">
        <v>2188</v>
      </c>
      <c r="AA471" s="17" t="s">
        <v>40</v>
      </c>
      <c r="AB471" s="22" t="s">
        <v>41</v>
      </c>
      <c r="AC471" s="23" t="str">
        <f t="shared" si="47"/>
        <v>E</v>
      </c>
      <c r="AD471" s="17">
        <v>0</v>
      </c>
      <c r="AE471" s="17">
        <v>0</v>
      </c>
      <c r="AF471" s="17">
        <v>0</v>
      </c>
      <c r="AG471" s="17">
        <v>0</v>
      </c>
      <c r="AH471" s="15" t="s">
        <v>42</v>
      </c>
    </row>
    <row r="472" spans="1:34">
      <c r="A472" s="13" t="str">
        <f t="shared" si="42"/>
        <v>OverStock</v>
      </c>
      <c r="B472" s="14" t="s">
        <v>381</v>
      </c>
      <c r="C472" s="15" t="s">
        <v>280</v>
      </c>
      <c r="D472" s="19">
        <f t="shared" si="43"/>
        <v>42.1</v>
      </c>
      <c r="E472" s="16" t="str">
        <f t="shared" si="44"/>
        <v>--</v>
      </c>
      <c r="F472" s="16">
        <f t="shared" si="45"/>
        <v>0</v>
      </c>
      <c r="G472" s="16" t="str">
        <f t="shared" si="46"/>
        <v>--</v>
      </c>
      <c r="H472" s="24" t="str">
        <f>IFERROR(VLOOKUP(B472,#REF!,8,FALSE),"")</f>
        <v/>
      </c>
      <c r="I472" s="17">
        <v>0</v>
      </c>
      <c r="J472" s="17">
        <v>0</v>
      </c>
      <c r="K472" s="24" t="str">
        <f>IFERROR(VLOOKUP(B472,#REF!,11,FALSE),"")</f>
        <v/>
      </c>
      <c r="L472" s="17">
        <v>92027</v>
      </c>
      <c r="M472" s="6" t="s">
        <v>755</v>
      </c>
      <c r="N472" s="18" t="str">
        <f>IFERROR(VLOOKUP(B472,#REF!,13,FALSE),"")</f>
        <v/>
      </c>
      <c r="O472" s="19" t="str">
        <f>IFERROR(VLOOKUP(B472,#REF!,14,FALSE),"")</f>
        <v/>
      </c>
      <c r="P472" s="19" t="str">
        <f>IFERROR(VLOOKUP(B472,#REF!,15,FALSE),"")</f>
        <v/>
      </c>
      <c r="Q472" s="19"/>
      <c r="R472" s="25" t="str">
        <f>IFERROR(VLOOKUP(B472,#REF!,16,FALSE),"")</f>
        <v/>
      </c>
      <c r="S472" s="17">
        <v>0</v>
      </c>
      <c r="T472" s="17">
        <v>92027</v>
      </c>
      <c r="U472" s="17">
        <v>0</v>
      </c>
      <c r="V472" s="17">
        <v>0</v>
      </c>
      <c r="W472" s="20">
        <v>92027</v>
      </c>
      <c r="X472" s="16">
        <v>42.1</v>
      </c>
      <c r="Y472" s="21" t="s">
        <v>40</v>
      </c>
      <c r="Z472" s="20">
        <v>2188</v>
      </c>
      <c r="AA472" s="17" t="s">
        <v>40</v>
      </c>
      <c r="AB472" s="22" t="s">
        <v>41</v>
      </c>
      <c r="AC472" s="23" t="str">
        <f t="shared" si="47"/>
        <v>E</v>
      </c>
      <c r="AD472" s="17">
        <v>0</v>
      </c>
      <c r="AE472" s="17">
        <v>0</v>
      </c>
      <c r="AF472" s="17">
        <v>0</v>
      </c>
      <c r="AG472" s="17">
        <v>0</v>
      </c>
      <c r="AH472" s="15" t="s">
        <v>42</v>
      </c>
    </row>
    <row r="473" spans="1:34">
      <c r="A473" s="13" t="str">
        <f t="shared" si="42"/>
        <v>OverStock</v>
      </c>
      <c r="B473" s="14" t="s">
        <v>382</v>
      </c>
      <c r="C473" s="15" t="s">
        <v>280</v>
      </c>
      <c r="D473" s="19">
        <f t="shared" si="43"/>
        <v>0</v>
      </c>
      <c r="E473" s="16" t="str">
        <f t="shared" si="44"/>
        <v>--</v>
      </c>
      <c r="F473" s="16">
        <f t="shared" si="45"/>
        <v>21.3</v>
      </c>
      <c r="G473" s="16" t="str">
        <f t="shared" si="46"/>
        <v>--</v>
      </c>
      <c r="H473" s="24" t="str">
        <f>IFERROR(VLOOKUP(B473,#REF!,8,FALSE),"")</f>
        <v/>
      </c>
      <c r="I473" s="17">
        <v>120000</v>
      </c>
      <c r="J473" s="17">
        <v>0</v>
      </c>
      <c r="K473" s="24" t="str">
        <f>IFERROR(VLOOKUP(B473,#REF!,11,FALSE),"")</f>
        <v/>
      </c>
      <c r="L473" s="17">
        <v>0</v>
      </c>
      <c r="M473" s="6" t="s">
        <v>748</v>
      </c>
      <c r="N473" s="18" t="str">
        <f>IFERROR(VLOOKUP(B473,#REF!,13,FALSE),"")</f>
        <v/>
      </c>
      <c r="O473" s="19" t="str">
        <f>IFERROR(VLOOKUP(B473,#REF!,14,FALSE),"")</f>
        <v/>
      </c>
      <c r="P473" s="19" t="str">
        <f>IFERROR(VLOOKUP(B473,#REF!,15,FALSE),"")</f>
        <v/>
      </c>
      <c r="Q473" s="19"/>
      <c r="R473" s="25" t="str">
        <f>IFERROR(VLOOKUP(B473,#REF!,16,FALSE),"")</f>
        <v/>
      </c>
      <c r="S473" s="17">
        <v>0</v>
      </c>
      <c r="T473" s="17">
        <v>0</v>
      </c>
      <c r="U473" s="17">
        <v>0</v>
      </c>
      <c r="V473" s="17">
        <v>0</v>
      </c>
      <c r="W473" s="20">
        <v>120000</v>
      </c>
      <c r="X473" s="16">
        <v>21.3</v>
      </c>
      <c r="Y473" s="21" t="s">
        <v>40</v>
      </c>
      <c r="Z473" s="20">
        <v>5625</v>
      </c>
      <c r="AA473" s="17" t="s">
        <v>40</v>
      </c>
      <c r="AB473" s="22" t="s">
        <v>41</v>
      </c>
      <c r="AC473" s="23" t="str">
        <f t="shared" si="47"/>
        <v>E</v>
      </c>
      <c r="AD473" s="17">
        <v>0</v>
      </c>
      <c r="AE473" s="17">
        <v>0</v>
      </c>
      <c r="AF473" s="17">
        <v>0</v>
      </c>
      <c r="AG473" s="17">
        <v>0</v>
      </c>
      <c r="AH473" s="15" t="s">
        <v>42</v>
      </c>
    </row>
    <row r="474" spans="1:34">
      <c r="A474" s="13" t="str">
        <f t="shared" si="42"/>
        <v>OverStock</v>
      </c>
      <c r="B474" s="14" t="s">
        <v>386</v>
      </c>
      <c r="C474" s="15" t="s">
        <v>280</v>
      </c>
      <c r="D474" s="19">
        <f t="shared" si="43"/>
        <v>72.7</v>
      </c>
      <c r="E474" s="16">
        <f t="shared" si="44"/>
        <v>63.6</v>
      </c>
      <c r="F474" s="16">
        <f t="shared" si="45"/>
        <v>0</v>
      </c>
      <c r="G474" s="16">
        <f t="shared" si="46"/>
        <v>0</v>
      </c>
      <c r="H474" s="24" t="str">
        <f>IFERROR(VLOOKUP(B474,#REF!,8,FALSE),"")</f>
        <v/>
      </c>
      <c r="I474" s="17">
        <v>0</v>
      </c>
      <c r="J474" s="17">
        <v>0</v>
      </c>
      <c r="K474" s="24" t="str">
        <f>IFERROR(VLOOKUP(B474,#REF!,11,FALSE),"")</f>
        <v/>
      </c>
      <c r="L474" s="17">
        <v>522304</v>
      </c>
      <c r="M474" s="6" t="s">
        <v>748</v>
      </c>
      <c r="N474" s="18" t="str">
        <f>IFERROR(VLOOKUP(B474,#REF!,13,FALSE),"")</f>
        <v/>
      </c>
      <c r="O474" s="19" t="str">
        <f>IFERROR(VLOOKUP(B474,#REF!,14,FALSE),"")</f>
        <v/>
      </c>
      <c r="P474" s="19" t="str">
        <f>IFERROR(VLOOKUP(B474,#REF!,15,FALSE),"")</f>
        <v/>
      </c>
      <c r="Q474" s="19"/>
      <c r="R474" s="25" t="str">
        <f>IFERROR(VLOOKUP(B474,#REF!,16,FALSE),"")</f>
        <v/>
      </c>
      <c r="S474" s="17">
        <v>0</v>
      </c>
      <c r="T474" s="17">
        <v>477304</v>
      </c>
      <c r="U474" s="17">
        <v>45000</v>
      </c>
      <c r="V474" s="17">
        <v>0</v>
      </c>
      <c r="W474" s="20">
        <v>522304</v>
      </c>
      <c r="X474" s="16">
        <v>72.7</v>
      </c>
      <c r="Y474" s="21">
        <v>63.6</v>
      </c>
      <c r="Z474" s="20">
        <v>7188</v>
      </c>
      <c r="AA474" s="17">
        <v>8211</v>
      </c>
      <c r="AB474" s="22">
        <v>1.1000000000000001</v>
      </c>
      <c r="AC474" s="23">
        <f t="shared" si="47"/>
        <v>100</v>
      </c>
      <c r="AD474" s="17">
        <v>12600</v>
      </c>
      <c r="AE474" s="17">
        <v>32200</v>
      </c>
      <c r="AF474" s="17">
        <v>31000</v>
      </c>
      <c r="AG474" s="17">
        <v>29200</v>
      </c>
      <c r="AH474" s="15" t="s">
        <v>42</v>
      </c>
    </row>
    <row r="475" spans="1:34">
      <c r="A475" s="13" t="str">
        <f t="shared" si="42"/>
        <v>OverStock</v>
      </c>
      <c r="B475" s="14" t="s">
        <v>388</v>
      </c>
      <c r="C475" s="15" t="s">
        <v>280</v>
      </c>
      <c r="D475" s="19">
        <f t="shared" si="43"/>
        <v>14.9</v>
      </c>
      <c r="E475" s="16">
        <f t="shared" si="44"/>
        <v>0.6</v>
      </c>
      <c r="F475" s="16">
        <f t="shared" si="45"/>
        <v>1310.5999999999999</v>
      </c>
      <c r="G475" s="16">
        <f t="shared" si="46"/>
        <v>57</v>
      </c>
      <c r="H475" s="24" t="str">
        <f>IFERROR(VLOOKUP(B475,#REF!,8,FALSE),"")</f>
        <v/>
      </c>
      <c r="I475" s="17">
        <v>2867500</v>
      </c>
      <c r="J475" s="17">
        <v>480000</v>
      </c>
      <c r="K475" s="24" t="str">
        <f>IFERROR(VLOOKUP(B475,#REF!,11,FALSE),"")</f>
        <v/>
      </c>
      <c r="L475" s="17">
        <v>32500</v>
      </c>
      <c r="M475" s="6" t="s">
        <v>748</v>
      </c>
      <c r="N475" s="18" t="str">
        <f>IFERROR(VLOOKUP(B475,#REF!,13,FALSE),"")</f>
        <v/>
      </c>
      <c r="O475" s="19" t="str">
        <f>IFERROR(VLOOKUP(B475,#REF!,14,FALSE),"")</f>
        <v/>
      </c>
      <c r="P475" s="19" t="str">
        <f>IFERROR(VLOOKUP(B475,#REF!,15,FALSE),"")</f>
        <v/>
      </c>
      <c r="Q475" s="19"/>
      <c r="R475" s="25" t="str">
        <f>IFERROR(VLOOKUP(B475,#REF!,16,FALSE),"")</f>
        <v/>
      </c>
      <c r="S475" s="17">
        <v>0</v>
      </c>
      <c r="T475" s="17">
        <v>0</v>
      </c>
      <c r="U475" s="17">
        <v>32500</v>
      </c>
      <c r="V475" s="17">
        <v>0</v>
      </c>
      <c r="W475" s="20">
        <v>2900000</v>
      </c>
      <c r="X475" s="16">
        <v>1325.4</v>
      </c>
      <c r="Y475" s="21">
        <v>57.6</v>
      </c>
      <c r="Z475" s="20">
        <v>2188</v>
      </c>
      <c r="AA475" s="17">
        <v>50344</v>
      </c>
      <c r="AB475" s="22">
        <v>23</v>
      </c>
      <c r="AC475" s="23">
        <f t="shared" si="47"/>
        <v>150</v>
      </c>
      <c r="AD475" s="17">
        <v>39400</v>
      </c>
      <c r="AE475" s="17">
        <v>95200</v>
      </c>
      <c r="AF475" s="17">
        <v>318900</v>
      </c>
      <c r="AG475" s="17">
        <v>317900</v>
      </c>
      <c r="AH475" s="15" t="s">
        <v>42</v>
      </c>
    </row>
    <row r="476" spans="1:34">
      <c r="A476" s="13" t="str">
        <f t="shared" si="42"/>
        <v>OverStock</v>
      </c>
      <c r="B476" s="14" t="s">
        <v>389</v>
      </c>
      <c r="C476" s="15" t="s">
        <v>280</v>
      </c>
      <c r="D476" s="19">
        <f t="shared" si="43"/>
        <v>6.7</v>
      </c>
      <c r="E476" s="16" t="str">
        <f t="shared" si="44"/>
        <v>--</v>
      </c>
      <c r="F476" s="16">
        <f t="shared" si="45"/>
        <v>259.3</v>
      </c>
      <c r="G476" s="16" t="str">
        <f t="shared" si="46"/>
        <v>--</v>
      </c>
      <c r="H476" s="24" t="str">
        <f>IFERROR(VLOOKUP(B476,#REF!,8,FALSE),"")</f>
        <v/>
      </c>
      <c r="I476" s="17">
        <v>972500</v>
      </c>
      <c r="J476" s="17">
        <v>47500</v>
      </c>
      <c r="K476" s="24" t="str">
        <f>IFERROR(VLOOKUP(B476,#REF!,11,FALSE),"")</f>
        <v/>
      </c>
      <c r="L476" s="17">
        <v>25000</v>
      </c>
      <c r="M476" s="6" t="s">
        <v>748</v>
      </c>
      <c r="N476" s="18" t="str">
        <f>IFERROR(VLOOKUP(B476,#REF!,13,FALSE),"")</f>
        <v/>
      </c>
      <c r="O476" s="19" t="str">
        <f>IFERROR(VLOOKUP(B476,#REF!,14,FALSE),"")</f>
        <v/>
      </c>
      <c r="P476" s="19" t="str">
        <f>IFERROR(VLOOKUP(B476,#REF!,15,FALSE),"")</f>
        <v/>
      </c>
      <c r="Q476" s="19"/>
      <c r="R476" s="25" t="str">
        <f>IFERROR(VLOOKUP(B476,#REF!,16,FALSE),"")</f>
        <v/>
      </c>
      <c r="S476" s="17">
        <v>0</v>
      </c>
      <c r="T476" s="17">
        <v>25000</v>
      </c>
      <c r="U476" s="17">
        <v>0</v>
      </c>
      <c r="V476" s="17">
        <v>0</v>
      </c>
      <c r="W476" s="20">
        <v>997500</v>
      </c>
      <c r="X476" s="16">
        <v>266</v>
      </c>
      <c r="Y476" s="21" t="s">
        <v>40</v>
      </c>
      <c r="Z476" s="20">
        <v>3750</v>
      </c>
      <c r="AA476" s="17" t="s">
        <v>40</v>
      </c>
      <c r="AB476" s="22" t="s">
        <v>41</v>
      </c>
      <c r="AC476" s="23" t="str">
        <f t="shared" si="47"/>
        <v>E</v>
      </c>
      <c r="AD476" s="17">
        <v>0</v>
      </c>
      <c r="AE476" s="17">
        <v>0</v>
      </c>
      <c r="AF476" s="17">
        <v>0</v>
      </c>
      <c r="AG476" s="17">
        <v>0</v>
      </c>
      <c r="AH476" s="15" t="s">
        <v>42</v>
      </c>
    </row>
    <row r="477" spans="1:34">
      <c r="A477" s="13" t="str">
        <f t="shared" si="42"/>
        <v>OverStock</v>
      </c>
      <c r="B477" s="14" t="s">
        <v>393</v>
      </c>
      <c r="C477" s="15" t="s">
        <v>280</v>
      </c>
      <c r="D477" s="19">
        <f t="shared" si="43"/>
        <v>0</v>
      </c>
      <c r="E477" s="16">
        <f t="shared" si="44"/>
        <v>0</v>
      </c>
      <c r="F477" s="16">
        <f t="shared" si="45"/>
        <v>51.5</v>
      </c>
      <c r="G477" s="16">
        <f t="shared" si="46"/>
        <v>25.9</v>
      </c>
      <c r="H477" s="24" t="str">
        <f>IFERROR(VLOOKUP(B477,#REF!,8,FALSE),"")</f>
        <v/>
      </c>
      <c r="I477" s="17">
        <v>1036000</v>
      </c>
      <c r="J477" s="17">
        <v>196000</v>
      </c>
      <c r="K477" s="24" t="str">
        <f>IFERROR(VLOOKUP(B477,#REF!,11,FALSE),"")</f>
        <v/>
      </c>
      <c r="L477" s="17">
        <v>0</v>
      </c>
      <c r="M477" s="6" t="s">
        <v>748</v>
      </c>
      <c r="N477" s="18" t="str">
        <f>IFERROR(VLOOKUP(B477,#REF!,13,FALSE),"")</f>
        <v/>
      </c>
      <c r="O477" s="19" t="str">
        <f>IFERROR(VLOOKUP(B477,#REF!,14,FALSE),"")</f>
        <v/>
      </c>
      <c r="P477" s="19" t="str">
        <f>IFERROR(VLOOKUP(B477,#REF!,15,FALSE),"")</f>
        <v/>
      </c>
      <c r="Q477" s="19"/>
      <c r="R477" s="25" t="str">
        <f>IFERROR(VLOOKUP(B477,#REF!,16,FALSE),"")</f>
        <v/>
      </c>
      <c r="S477" s="17">
        <v>0</v>
      </c>
      <c r="T477" s="17">
        <v>0</v>
      </c>
      <c r="U477" s="17">
        <v>0</v>
      </c>
      <c r="V477" s="17">
        <v>0</v>
      </c>
      <c r="W477" s="20">
        <v>1036000</v>
      </c>
      <c r="X477" s="16">
        <v>51.5</v>
      </c>
      <c r="Y477" s="21">
        <v>25.9</v>
      </c>
      <c r="Z477" s="20">
        <v>20125</v>
      </c>
      <c r="AA477" s="17">
        <v>39939</v>
      </c>
      <c r="AB477" s="22">
        <v>2</v>
      </c>
      <c r="AC477" s="23">
        <f t="shared" si="47"/>
        <v>150</v>
      </c>
      <c r="AD477" s="17">
        <v>26165</v>
      </c>
      <c r="AE477" s="17">
        <v>185810</v>
      </c>
      <c r="AF477" s="17">
        <v>147480</v>
      </c>
      <c r="AG477" s="17">
        <v>156970</v>
      </c>
      <c r="AH477" s="15" t="s">
        <v>42</v>
      </c>
    </row>
    <row r="478" spans="1:34">
      <c r="A478" s="13" t="str">
        <f t="shared" si="42"/>
        <v>OverStock</v>
      </c>
      <c r="B478" s="14" t="s">
        <v>397</v>
      </c>
      <c r="C478" s="15" t="s">
        <v>280</v>
      </c>
      <c r="D478" s="19">
        <f t="shared" si="43"/>
        <v>0</v>
      </c>
      <c r="E478" s="16">
        <f t="shared" si="44"/>
        <v>0</v>
      </c>
      <c r="F478" s="16">
        <f t="shared" si="45"/>
        <v>49.4</v>
      </c>
      <c r="G478" s="16">
        <f t="shared" si="46"/>
        <v>21.1</v>
      </c>
      <c r="H478" s="24" t="str">
        <f>IFERROR(VLOOKUP(B478,#REF!,8,FALSE),"")</f>
        <v/>
      </c>
      <c r="I478" s="17">
        <v>2160000</v>
      </c>
      <c r="J478" s="17">
        <v>630000</v>
      </c>
      <c r="K478" s="24" t="str">
        <f>IFERROR(VLOOKUP(B478,#REF!,11,FALSE),"")</f>
        <v/>
      </c>
      <c r="L478" s="17">
        <v>0</v>
      </c>
      <c r="M478" s="6" t="s">
        <v>755</v>
      </c>
      <c r="N478" s="18" t="str">
        <f>IFERROR(VLOOKUP(B478,#REF!,13,FALSE),"")</f>
        <v/>
      </c>
      <c r="O478" s="19" t="str">
        <f>IFERROR(VLOOKUP(B478,#REF!,14,FALSE),"")</f>
        <v/>
      </c>
      <c r="P478" s="19" t="str">
        <f>IFERROR(VLOOKUP(B478,#REF!,15,FALSE),"")</f>
        <v/>
      </c>
      <c r="Q478" s="19"/>
      <c r="R478" s="25" t="str">
        <f>IFERROR(VLOOKUP(B478,#REF!,16,FALSE),"")</f>
        <v/>
      </c>
      <c r="S478" s="17">
        <v>0</v>
      </c>
      <c r="T478" s="17">
        <v>0</v>
      </c>
      <c r="U478" s="17">
        <v>0</v>
      </c>
      <c r="V478" s="17">
        <v>0</v>
      </c>
      <c r="W478" s="20">
        <v>2160000</v>
      </c>
      <c r="X478" s="16">
        <v>49.4</v>
      </c>
      <c r="Y478" s="21">
        <v>21.1</v>
      </c>
      <c r="Z478" s="20">
        <v>43750</v>
      </c>
      <c r="AA478" s="17">
        <v>102222</v>
      </c>
      <c r="AB478" s="22">
        <v>2.2999999999999998</v>
      </c>
      <c r="AC478" s="23">
        <f t="shared" si="47"/>
        <v>150</v>
      </c>
      <c r="AD478" s="17">
        <v>0</v>
      </c>
      <c r="AE478" s="17">
        <v>650000</v>
      </c>
      <c r="AF478" s="17">
        <v>270000</v>
      </c>
      <c r="AG478" s="17">
        <v>90000</v>
      </c>
      <c r="AH478" s="15" t="s">
        <v>42</v>
      </c>
    </row>
    <row r="479" spans="1:34">
      <c r="A479" s="13" t="str">
        <f t="shared" si="42"/>
        <v>OverStock</v>
      </c>
      <c r="B479" s="14" t="s">
        <v>398</v>
      </c>
      <c r="C479" s="15" t="s">
        <v>280</v>
      </c>
      <c r="D479" s="19">
        <f t="shared" si="43"/>
        <v>0</v>
      </c>
      <c r="E479" s="16">
        <f t="shared" si="44"/>
        <v>0</v>
      </c>
      <c r="F479" s="16">
        <f t="shared" si="45"/>
        <v>65.599999999999994</v>
      </c>
      <c r="G479" s="16">
        <f t="shared" si="46"/>
        <v>20.6</v>
      </c>
      <c r="H479" s="24" t="str">
        <f>IFERROR(VLOOKUP(B479,#REF!,8,FALSE),"")</f>
        <v/>
      </c>
      <c r="I479" s="17">
        <v>2790000</v>
      </c>
      <c r="J479" s="17">
        <v>1300000</v>
      </c>
      <c r="K479" s="24" t="str">
        <f>IFERROR(VLOOKUP(B479,#REF!,11,FALSE),"")</f>
        <v/>
      </c>
      <c r="L479" s="17">
        <v>0</v>
      </c>
      <c r="M479" s="6" t="s">
        <v>748</v>
      </c>
      <c r="N479" s="18" t="str">
        <f>IFERROR(VLOOKUP(B479,#REF!,13,FALSE),"")</f>
        <v/>
      </c>
      <c r="O479" s="19" t="str">
        <f>IFERROR(VLOOKUP(B479,#REF!,14,FALSE),"")</f>
        <v/>
      </c>
      <c r="P479" s="19" t="str">
        <f>IFERROR(VLOOKUP(B479,#REF!,15,FALSE),"")</f>
        <v/>
      </c>
      <c r="Q479" s="19"/>
      <c r="R479" s="25" t="str">
        <f>IFERROR(VLOOKUP(B479,#REF!,16,FALSE),"")</f>
        <v/>
      </c>
      <c r="S479" s="17">
        <v>0</v>
      </c>
      <c r="T479" s="17">
        <v>0</v>
      </c>
      <c r="U479" s="17">
        <v>0</v>
      </c>
      <c r="V479" s="17">
        <v>0</v>
      </c>
      <c r="W479" s="20">
        <v>2790000</v>
      </c>
      <c r="X479" s="16">
        <v>65.599999999999994</v>
      </c>
      <c r="Y479" s="21">
        <v>20.6</v>
      </c>
      <c r="Z479" s="20">
        <v>42500</v>
      </c>
      <c r="AA479" s="17">
        <v>135556</v>
      </c>
      <c r="AB479" s="22">
        <v>3.2</v>
      </c>
      <c r="AC479" s="23">
        <f t="shared" si="47"/>
        <v>150</v>
      </c>
      <c r="AD479" s="17">
        <v>0</v>
      </c>
      <c r="AE479" s="17">
        <v>870000</v>
      </c>
      <c r="AF479" s="17">
        <v>350000</v>
      </c>
      <c r="AG479" s="17">
        <v>120000</v>
      </c>
      <c r="AH479" s="15" t="s">
        <v>42</v>
      </c>
    </row>
    <row r="480" spans="1:34">
      <c r="A480" s="13" t="str">
        <f t="shared" si="42"/>
        <v>Normal</v>
      </c>
      <c r="B480" s="14" t="s">
        <v>402</v>
      </c>
      <c r="C480" s="15" t="s">
        <v>280</v>
      </c>
      <c r="D480" s="19">
        <f t="shared" si="43"/>
        <v>14.4</v>
      </c>
      <c r="E480" s="16" t="str">
        <f t="shared" si="44"/>
        <v>--</v>
      </c>
      <c r="F480" s="16">
        <f t="shared" si="45"/>
        <v>0</v>
      </c>
      <c r="G480" s="16" t="str">
        <f t="shared" si="46"/>
        <v>--</v>
      </c>
      <c r="H480" s="24" t="str">
        <f>IFERROR(VLOOKUP(B480,#REF!,8,FALSE),"")</f>
        <v/>
      </c>
      <c r="I480" s="17">
        <v>0</v>
      </c>
      <c r="J480" s="17">
        <v>0</v>
      </c>
      <c r="K480" s="24" t="str">
        <f>IFERROR(VLOOKUP(B480,#REF!,11,FALSE),"")</f>
        <v/>
      </c>
      <c r="L480" s="17">
        <v>81000</v>
      </c>
      <c r="M480" s="6" t="s">
        <v>752</v>
      </c>
      <c r="N480" s="18" t="str">
        <f>IFERROR(VLOOKUP(B480,#REF!,13,FALSE),"")</f>
        <v/>
      </c>
      <c r="O480" s="19" t="str">
        <f>IFERROR(VLOOKUP(B480,#REF!,14,FALSE),"")</f>
        <v/>
      </c>
      <c r="P480" s="19" t="str">
        <f>IFERROR(VLOOKUP(B480,#REF!,15,FALSE),"")</f>
        <v/>
      </c>
      <c r="Q480" s="19"/>
      <c r="R480" s="25" t="str">
        <f>IFERROR(VLOOKUP(B480,#REF!,16,FALSE),"")</f>
        <v/>
      </c>
      <c r="S480" s="17">
        <v>0</v>
      </c>
      <c r="T480" s="17">
        <v>81000</v>
      </c>
      <c r="U480" s="17">
        <v>0</v>
      </c>
      <c r="V480" s="17">
        <v>0</v>
      </c>
      <c r="W480" s="20">
        <v>81000</v>
      </c>
      <c r="X480" s="16">
        <v>14.4</v>
      </c>
      <c r="Y480" s="21" t="s">
        <v>40</v>
      </c>
      <c r="Z480" s="20">
        <v>5625</v>
      </c>
      <c r="AA480" s="17" t="s">
        <v>40</v>
      </c>
      <c r="AB480" s="22" t="s">
        <v>41</v>
      </c>
      <c r="AC480" s="23" t="str">
        <f t="shared" si="47"/>
        <v>E</v>
      </c>
      <c r="AD480" s="17">
        <v>0</v>
      </c>
      <c r="AE480" s="17">
        <v>0</v>
      </c>
      <c r="AF480" s="17">
        <v>0</v>
      </c>
      <c r="AG480" s="17">
        <v>0</v>
      </c>
      <c r="AH480" s="15" t="s">
        <v>42</v>
      </c>
    </row>
    <row r="481" spans="1:34">
      <c r="A481" s="13" t="str">
        <f t="shared" si="42"/>
        <v>OverStock</v>
      </c>
      <c r="B481" s="14" t="s">
        <v>403</v>
      </c>
      <c r="C481" s="15" t="s">
        <v>280</v>
      </c>
      <c r="D481" s="19">
        <f t="shared" si="43"/>
        <v>52</v>
      </c>
      <c r="E481" s="16" t="str">
        <f t="shared" si="44"/>
        <v>--</v>
      </c>
      <c r="F481" s="16">
        <f t="shared" si="45"/>
        <v>0</v>
      </c>
      <c r="G481" s="16" t="str">
        <f t="shared" si="46"/>
        <v>--</v>
      </c>
      <c r="H481" s="24" t="str">
        <f>IFERROR(VLOOKUP(B481,#REF!,8,FALSE),"")</f>
        <v/>
      </c>
      <c r="I481" s="17">
        <v>0</v>
      </c>
      <c r="J481" s="17">
        <v>0</v>
      </c>
      <c r="K481" s="24" t="str">
        <f>IFERROR(VLOOKUP(B481,#REF!,11,FALSE),"")</f>
        <v/>
      </c>
      <c r="L481" s="17">
        <v>78000</v>
      </c>
      <c r="M481" s="6" t="s">
        <v>755</v>
      </c>
      <c r="N481" s="18" t="str">
        <f>IFERROR(VLOOKUP(B481,#REF!,13,FALSE),"")</f>
        <v/>
      </c>
      <c r="O481" s="19" t="str">
        <f>IFERROR(VLOOKUP(B481,#REF!,14,FALSE),"")</f>
        <v/>
      </c>
      <c r="P481" s="19" t="str">
        <f>IFERROR(VLOOKUP(B481,#REF!,15,FALSE),"")</f>
        <v/>
      </c>
      <c r="Q481" s="19"/>
      <c r="R481" s="25" t="str">
        <f>IFERROR(VLOOKUP(B481,#REF!,16,FALSE),"")</f>
        <v/>
      </c>
      <c r="S481" s="17">
        <v>0</v>
      </c>
      <c r="T481" s="17">
        <v>78000</v>
      </c>
      <c r="U481" s="17">
        <v>0</v>
      </c>
      <c r="V481" s="17">
        <v>0</v>
      </c>
      <c r="W481" s="20">
        <v>78000</v>
      </c>
      <c r="X481" s="16">
        <v>52</v>
      </c>
      <c r="Y481" s="21" t="s">
        <v>40</v>
      </c>
      <c r="Z481" s="20">
        <v>1500</v>
      </c>
      <c r="AA481" s="17" t="s">
        <v>40</v>
      </c>
      <c r="AB481" s="22" t="s">
        <v>41</v>
      </c>
      <c r="AC481" s="23" t="str">
        <f t="shared" si="47"/>
        <v>E</v>
      </c>
      <c r="AD481" s="17">
        <v>0</v>
      </c>
      <c r="AE481" s="17">
        <v>0</v>
      </c>
      <c r="AF481" s="17">
        <v>0</v>
      </c>
      <c r="AG481" s="17">
        <v>0</v>
      </c>
      <c r="AH481" s="15" t="s">
        <v>42</v>
      </c>
    </row>
    <row r="482" spans="1:34">
      <c r="A482" s="13" t="str">
        <f t="shared" si="42"/>
        <v>ZeroZero</v>
      </c>
      <c r="B482" s="14" t="s">
        <v>405</v>
      </c>
      <c r="C482" s="15" t="s">
        <v>280</v>
      </c>
      <c r="D482" s="19" t="str">
        <f t="shared" si="43"/>
        <v>前八週無拉料</v>
      </c>
      <c r="E482" s="16" t="str">
        <f t="shared" si="44"/>
        <v>--</v>
      </c>
      <c r="F482" s="16" t="str">
        <f t="shared" si="45"/>
        <v>--</v>
      </c>
      <c r="G482" s="16" t="str">
        <f t="shared" si="46"/>
        <v>--</v>
      </c>
      <c r="H482" s="24" t="str">
        <f>IFERROR(VLOOKUP(B482,#REF!,8,FALSE),"")</f>
        <v/>
      </c>
      <c r="I482" s="17">
        <v>3000</v>
      </c>
      <c r="J482" s="17">
        <v>3000</v>
      </c>
      <c r="K482" s="24" t="str">
        <f>IFERROR(VLOOKUP(B482,#REF!,11,FALSE),"")</f>
        <v/>
      </c>
      <c r="L482" s="17">
        <v>0</v>
      </c>
      <c r="M482" s="6" t="s">
        <v>752</v>
      </c>
      <c r="N482" s="18" t="str">
        <f>IFERROR(VLOOKUP(B482,#REF!,13,FALSE),"")</f>
        <v/>
      </c>
      <c r="O482" s="19" t="str">
        <f>IFERROR(VLOOKUP(B482,#REF!,14,FALSE),"")</f>
        <v/>
      </c>
      <c r="P482" s="19" t="str">
        <f>IFERROR(VLOOKUP(B482,#REF!,15,FALSE),"")</f>
        <v/>
      </c>
      <c r="Q482" s="19"/>
      <c r="R482" s="25" t="str">
        <f>IFERROR(VLOOKUP(B482,#REF!,16,FALSE),"")</f>
        <v/>
      </c>
      <c r="S482" s="17">
        <v>0</v>
      </c>
      <c r="T482" s="17">
        <v>0</v>
      </c>
      <c r="U482" s="17">
        <v>0</v>
      </c>
      <c r="V482" s="17">
        <v>0</v>
      </c>
      <c r="W482" s="20">
        <v>3000</v>
      </c>
      <c r="X482" s="16" t="s">
        <v>40</v>
      </c>
      <c r="Y482" s="21" t="s">
        <v>40</v>
      </c>
      <c r="Z482" s="20">
        <v>0</v>
      </c>
      <c r="AA482" s="17" t="s">
        <v>40</v>
      </c>
      <c r="AB482" s="22" t="s">
        <v>41</v>
      </c>
      <c r="AC482" s="23" t="str">
        <f t="shared" si="47"/>
        <v>E</v>
      </c>
      <c r="AD482" s="17">
        <v>0</v>
      </c>
      <c r="AE482" s="17">
        <v>0</v>
      </c>
      <c r="AF482" s="17">
        <v>0</v>
      </c>
      <c r="AG482" s="17">
        <v>0</v>
      </c>
      <c r="AH482" s="15" t="s">
        <v>42</v>
      </c>
    </row>
    <row r="483" spans="1:34">
      <c r="A483" s="13" t="str">
        <f t="shared" si="42"/>
        <v>OverStock</v>
      </c>
      <c r="B483" s="14" t="s">
        <v>406</v>
      </c>
      <c r="C483" s="15" t="s">
        <v>280</v>
      </c>
      <c r="D483" s="19">
        <f t="shared" si="43"/>
        <v>1.9</v>
      </c>
      <c r="E483" s="16">
        <f t="shared" si="44"/>
        <v>2.4</v>
      </c>
      <c r="F483" s="16">
        <f t="shared" si="45"/>
        <v>28.1</v>
      </c>
      <c r="G483" s="16">
        <f t="shared" si="46"/>
        <v>35.700000000000003</v>
      </c>
      <c r="H483" s="24" t="str">
        <f>IFERROR(VLOOKUP(B483,#REF!,8,FALSE),"")</f>
        <v/>
      </c>
      <c r="I483" s="17">
        <v>1488000</v>
      </c>
      <c r="J483" s="17">
        <v>858000</v>
      </c>
      <c r="K483" s="24" t="str">
        <f>IFERROR(VLOOKUP(B483,#REF!,11,FALSE),"")</f>
        <v/>
      </c>
      <c r="L483" s="17">
        <v>99000</v>
      </c>
      <c r="M483" s="6" t="s">
        <v>748</v>
      </c>
      <c r="N483" s="18" t="str">
        <f>IFERROR(VLOOKUP(B483,#REF!,13,FALSE),"")</f>
        <v/>
      </c>
      <c r="O483" s="19" t="str">
        <f>IFERROR(VLOOKUP(B483,#REF!,14,FALSE),"")</f>
        <v/>
      </c>
      <c r="P483" s="19" t="str">
        <f>IFERROR(VLOOKUP(B483,#REF!,15,FALSE),"")</f>
        <v/>
      </c>
      <c r="Q483" s="19"/>
      <c r="R483" s="25" t="str">
        <f>IFERROR(VLOOKUP(B483,#REF!,16,FALSE),"")</f>
        <v/>
      </c>
      <c r="S483" s="17">
        <v>0</v>
      </c>
      <c r="T483" s="17">
        <v>99000</v>
      </c>
      <c r="U483" s="17">
        <v>0</v>
      </c>
      <c r="V483" s="17">
        <v>0</v>
      </c>
      <c r="W483" s="20">
        <v>1587000</v>
      </c>
      <c r="X483" s="16">
        <v>30</v>
      </c>
      <c r="Y483" s="21">
        <v>38.1</v>
      </c>
      <c r="Z483" s="20">
        <v>52875</v>
      </c>
      <c r="AA483" s="17">
        <v>41667</v>
      </c>
      <c r="AB483" s="22">
        <v>0.8</v>
      </c>
      <c r="AC483" s="23">
        <f t="shared" si="47"/>
        <v>100</v>
      </c>
      <c r="AD483" s="17">
        <v>0</v>
      </c>
      <c r="AE483" s="17">
        <v>351000</v>
      </c>
      <c r="AF483" s="17">
        <v>24000</v>
      </c>
      <c r="AG483" s="17">
        <v>0</v>
      </c>
      <c r="AH483" s="15" t="s">
        <v>42</v>
      </c>
    </row>
    <row r="484" spans="1:34">
      <c r="A484" s="13" t="str">
        <f t="shared" si="42"/>
        <v>OverStock</v>
      </c>
      <c r="B484" s="14" t="s">
        <v>409</v>
      </c>
      <c r="C484" s="15" t="s">
        <v>280</v>
      </c>
      <c r="D484" s="19">
        <f t="shared" si="43"/>
        <v>0</v>
      </c>
      <c r="E484" s="16">
        <f t="shared" si="44"/>
        <v>0</v>
      </c>
      <c r="F484" s="16">
        <f t="shared" si="45"/>
        <v>41.3</v>
      </c>
      <c r="G484" s="16">
        <f t="shared" si="46"/>
        <v>20.7</v>
      </c>
      <c r="H484" s="24" t="str">
        <f>IFERROR(VLOOKUP(B484,#REF!,8,FALSE),"")</f>
        <v/>
      </c>
      <c r="I484" s="17">
        <v>186000</v>
      </c>
      <c r="J484" s="17">
        <v>186000</v>
      </c>
      <c r="K484" s="24" t="str">
        <f>IFERROR(VLOOKUP(B484,#REF!,11,FALSE),"")</f>
        <v/>
      </c>
      <c r="L484" s="17">
        <v>0</v>
      </c>
      <c r="M484" s="6" t="s">
        <v>758</v>
      </c>
      <c r="N484" s="18" t="str">
        <f>IFERROR(VLOOKUP(B484,#REF!,13,FALSE),"")</f>
        <v/>
      </c>
      <c r="O484" s="19" t="str">
        <f>IFERROR(VLOOKUP(B484,#REF!,14,FALSE),"")</f>
        <v/>
      </c>
      <c r="P484" s="19" t="str">
        <f>IFERROR(VLOOKUP(B484,#REF!,15,FALSE),"")</f>
        <v/>
      </c>
      <c r="Q484" s="19"/>
      <c r="R484" s="25" t="str">
        <f>IFERROR(VLOOKUP(B484,#REF!,16,FALSE),"")</f>
        <v/>
      </c>
      <c r="S484" s="17">
        <v>0</v>
      </c>
      <c r="T484" s="17">
        <v>0</v>
      </c>
      <c r="U484" s="17">
        <v>0</v>
      </c>
      <c r="V484" s="17">
        <v>0</v>
      </c>
      <c r="W484" s="20">
        <v>186000</v>
      </c>
      <c r="X484" s="16">
        <v>41.3</v>
      </c>
      <c r="Y484" s="21">
        <v>20.7</v>
      </c>
      <c r="Z484" s="20">
        <v>4500</v>
      </c>
      <c r="AA484" s="17">
        <v>9000</v>
      </c>
      <c r="AB484" s="22">
        <v>2</v>
      </c>
      <c r="AC484" s="23">
        <f t="shared" si="47"/>
        <v>150</v>
      </c>
      <c r="AD484" s="17">
        <v>0</v>
      </c>
      <c r="AE484" s="17">
        <v>48000</v>
      </c>
      <c r="AF484" s="17">
        <v>51000</v>
      </c>
      <c r="AG484" s="17">
        <v>0</v>
      </c>
      <c r="AH484" s="15" t="s">
        <v>42</v>
      </c>
    </row>
    <row r="485" spans="1:34">
      <c r="A485" s="13" t="str">
        <f t="shared" si="42"/>
        <v>FCST</v>
      </c>
      <c r="B485" s="14" t="s">
        <v>410</v>
      </c>
      <c r="C485" s="15" t="s">
        <v>280</v>
      </c>
      <c r="D485" s="19" t="str">
        <f t="shared" si="43"/>
        <v>前八週無拉料</v>
      </c>
      <c r="E485" s="16">
        <f t="shared" si="44"/>
        <v>6</v>
      </c>
      <c r="F485" s="16" t="str">
        <f t="shared" si="45"/>
        <v>--</v>
      </c>
      <c r="G485" s="16">
        <f t="shared" si="46"/>
        <v>0</v>
      </c>
      <c r="H485" s="24" t="str">
        <f>IFERROR(VLOOKUP(B485,#REF!,8,FALSE),"")</f>
        <v/>
      </c>
      <c r="I485" s="17">
        <v>0</v>
      </c>
      <c r="J485" s="17">
        <v>0</v>
      </c>
      <c r="K485" s="24" t="str">
        <f>IFERROR(VLOOKUP(B485,#REF!,11,FALSE),"")</f>
        <v/>
      </c>
      <c r="L485" s="17">
        <v>1994</v>
      </c>
      <c r="M485" s="6" t="s">
        <v>758</v>
      </c>
      <c r="N485" s="18" t="str">
        <f>IFERROR(VLOOKUP(B485,#REF!,13,FALSE),"")</f>
        <v/>
      </c>
      <c r="O485" s="19" t="str">
        <f>IFERROR(VLOOKUP(B485,#REF!,14,FALSE),"")</f>
        <v/>
      </c>
      <c r="P485" s="19" t="str">
        <f>IFERROR(VLOOKUP(B485,#REF!,15,FALSE),"")</f>
        <v/>
      </c>
      <c r="Q485" s="19"/>
      <c r="R485" s="25" t="str">
        <f>IFERROR(VLOOKUP(B485,#REF!,16,FALSE),"")</f>
        <v/>
      </c>
      <c r="S485" s="17">
        <v>0</v>
      </c>
      <c r="T485" s="17">
        <v>1994</v>
      </c>
      <c r="U485" s="17">
        <v>0</v>
      </c>
      <c r="V485" s="17">
        <v>0</v>
      </c>
      <c r="W485" s="20">
        <v>1994</v>
      </c>
      <c r="X485" s="16" t="s">
        <v>40</v>
      </c>
      <c r="Y485" s="21">
        <v>6</v>
      </c>
      <c r="Z485" s="20">
        <v>0</v>
      </c>
      <c r="AA485" s="17">
        <v>333</v>
      </c>
      <c r="AB485" s="22" t="s">
        <v>51</v>
      </c>
      <c r="AC485" s="23" t="str">
        <f t="shared" si="47"/>
        <v>F</v>
      </c>
      <c r="AD485" s="17">
        <v>0</v>
      </c>
      <c r="AE485" s="17">
        <v>3000</v>
      </c>
      <c r="AF485" s="17">
        <v>0</v>
      </c>
      <c r="AG485" s="17">
        <v>0</v>
      </c>
      <c r="AH485" s="15" t="s">
        <v>42</v>
      </c>
    </row>
    <row r="486" spans="1:34">
      <c r="A486" s="13" t="str">
        <f t="shared" si="42"/>
        <v>Normal</v>
      </c>
      <c r="B486" s="14" t="s">
        <v>411</v>
      </c>
      <c r="C486" s="15" t="s">
        <v>280</v>
      </c>
      <c r="D486" s="19">
        <f t="shared" si="43"/>
        <v>8</v>
      </c>
      <c r="E486" s="16" t="str">
        <f t="shared" si="44"/>
        <v>--</v>
      </c>
      <c r="F486" s="16">
        <f t="shared" si="45"/>
        <v>0</v>
      </c>
      <c r="G486" s="16" t="str">
        <f t="shared" si="46"/>
        <v>--</v>
      </c>
      <c r="H486" s="24" t="str">
        <f>IFERROR(VLOOKUP(B486,#REF!,8,FALSE),"")</f>
        <v/>
      </c>
      <c r="I486" s="17">
        <v>0</v>
      </c>
      <c r="J486" s="17">
        <v>0</v>
      </c>
      <c r="K486" s="24" t="str">
        <f>IFERROR(VLOOKUP(B486,#REF!,11,FALSE),"")</f>
        <v/>
      </c>
      <c r="L486" s="17">
        <v>3000</v>
      </c>
      <c r="M486" s="6" t="s">
        <v>758</v>
      </c>
      <c r="N486" s="18" t="str">
        <f>IFERROR(VLOOKUP(B486,#REF!,13,FALSE),"")</f>
        <v/>
      </c>
      <c r="O486" s="19" t="str">
        <f>IFERROR(VLOOKUP(B486,#REF!,14,FALSE),"")</f>
        <v/>
      </c>
      <c r="P486" s="19" t="str">
        <f>IFERROR(VLOOKUP(B486,#REF!,15,FALSE),"")</f>
        <v/>
      </c>
      <c r="Q486" s="19"/>
      <c r="R486" s="25" t="str">
        <f>IFERROR(VLOOKUP(B486,#REF!,16,FALSE),"")</f>
        <v/>
      </c>
      <c r="S486" s="17">
        <v>0</v>
      </c>
      <c r="T486" s="17">
        <v>3000</v>
      </c>
      <c r="U486" s="17">
        <v>0</v>
      </c>
      <c r="V486" s="17">
        <v>0</v>
      </c>
      <c r="W486" s="20">
        <v>3000</v>
      </c>
      <c r="X486" s="16">
        <v>8</v>
      </c>
      <c r="Y486" s="21" t="s">
        <v>40</v>
      </c>
      <c r="Z486" s="20">
        <v>375</v>
      </c>
      <c r="AA486" s="17" t="s">
        <v>40</v>
      </c>
      <c r="AB486" s="22" t="s">
        <v>41</v>
      </c>
      <c r="AC486" s="23" t="str">
        <f t="shared" si="47"/>
        <v>E</v>
      </c>
      <c r="AD486" s="17">
        <v>0</v>
      </c>
      <c r="AE486" s="17">
        <v>0</v>
      </c>
      <c r="AF486" s="17">
        <v>0</v>
      </c>
      <c r="AG486" s="17">
        <v>0</v>
      </c>
      <c r="AH486" s="15" t="s">
        <v>42</v>
      </c>
    </row>
    <row r="487" spans="1:34">
      <c r="A487" s="13" t="str">
        <f t="shared" si="42"/>
        <v>OverStock</v>
      </c>
      <c r="B487" s="14" t="s">
        <v>412</v>
      </c>
      <c r="C487" s="15" t="s">
        <v>280</v>
      </c>
      <c r="D487" s="19">
        <f t="shared" si="43"/>
        <v>146.5</v>
      </c>
      <c r="E487" s="16">
        <f t="shared" si="44"/>
        <v>7.3</v>
      </c>
      <c r="F487" s="16">
        <f t="shared" si="45"/>
        <v>1685.5</v>
      </c>
      <c r="G487" s="16">
        <f t="shared" si="46"/>
        <v>83.5</v>
      </c>
      <c r="H487" s="24" t="str">
        <f>IFERROR(VLOOKUP(B487,#REF!,8,FALSE),"")</f>
        <v/>
      </c>
      <c r="I487" s="17">
        <v>10113000</v>
      </c>
      <c r="J487" s="17">
        <v>300000</v>
      </c>
      <c r="K487" s="24" t="str">
        <f>IFERROR(VLOOKUP(B487,#REF!,11,FALSE),"")</f>
        <v/>
      </c>
      <c r="L487" s="17">
        <v>879000</v>
      </c>
      <c r="M487" s="6" t="s">
        <v>748</v>
      </c>
      <c r="N487" s="18" t="str">
        <f>IFERROR(VLOOKUP(B487,#REF!,13,FALSE),"")</f>
        <v/>
      </c>
      <c r="O487" s="19" t="str">
        <f>IFERROR(VLOOKUP(B487,#REF!,14,FALSE),"")</f>
        <v/>
      </c>
      <c r="P487" s="19" t="str">
        <f>IFERROR(VLOOKUP(B487,#REF!,15,FALSE),"")</f>
        <v/>
      </c>
      <c r="Q487" s="19"/>
      <c r="R487" s="25" t="str">
        <f>IFERROR(VLOOKUP(B487,#REF!,16,FALSE),"")</f>
        <v/>
      </c>
      <c r="S487" s="17">
        <v>240000</v>
      </c>
      <c r="T487" s="17">
        <v>222000</v>
      </c>
      <c r="U487" s="17">
        <v>417000</v>
      </c>
      <c r="V487" s="17">
        <v>0</v>
      </c>
      <c r="W487" s="20">
        <v>10992000</v>
      </c>
      <c r="X487" s="16">
        <v>1832</v>
      </c>
      <c r="Y487" s="21">
        <v>90.7</v>
      </c>
      <c r="Z487" s="20">
        <v>6000</v>
      </c>
      <c r="AA487" s="17">
        <v>121178</v>
      </c>
      <c r="AB487" s="22">
        <v>20.2</v>
      </c>
      <c r="AC487" s="23">
        <f t="shared" si="47"/>
        <v>150</v>
      </c>
      <c r="AD487" s="17">
        <v>67700</v>
      </c>
      <c r="AE487" s="17">
        <v>256100</v>
      </c>
      <c r="AF487" s="17">
        <v>767300</v>
      </c>
      <c r="AG487" s="17">
        <v>746500</v>
      </c>
      <c r="AH487" s="15" t="s">
        <v>42</v>
      </c>
    </row>
    <row r="488" spans="1:34">
      <c r="A488" s="13" t="str">
        <f t="shared" si="42"/>
        <v>OverStock</v>
      </c>
      <c r="B488" s="14" t="s">
        <v>413</v>
      </c>
      <c r="C488" s="15" t="s">
        <v>280</v>
      </c>
      <c r="D488" s="19">
        <f t="shared" si="43"/>
        <v>132.19999999999999</v>
      </c>
      <c r="E488" s="16">
        <f t="shared" si="44"/>
        <v>6.7</v>
      </c>
      <c r="F488" s="16">
        <f t="shared" si="45"/>
        <v>1417.7</v>
      </c>
      <c r="G488" s="16">
        <f t="shared" si="46"/>
        <v>71.8</v>
      </c>
      <c r="H488" s="24" t="str">
        <f>IFERROR(VLOOKUP(B488,#REF!,8,FALSE),"")</f>
        <v/>
      </c>
      <c r="I488" s="17">
        <v>10101000</v>
      </c>
      <c r="J488" s="17">
        <v>1083000</v>
      </c>
      <c r="K488" s="24" t="str">
        <f>IFERROR(VLOOKUP(B488,#REF!,11,FALSE),"")</f>
        <v/>
      </c>
      <c r="L488" s="17">
        <v>942000</v>
      </c>
      <c r="M488" s="6" t="s">
        <v>748</v>
      </c>
      <c r="N488" s="18" t="str">
        <f>IFERROR(VLOOKUP(B488,#REF!,13,FALSE),"")</f>
        <v/>
      </c>
      <c r="O488" s="19" t="str">
        <f>IFERROR(VLOOKUP(B488,#REF!,14,FALSE),"")</f>
        <v/>
      </c>
      <c r="P488" s="19" t="str">
        <f>IFERROR(VLOOKUP(B488,#REF!,15,FALSE),"")</f>
        <v/>
      </c>
      <c r="Q488" s="19"/>
      <c r="R488" s="25" t="str">
        <f>IFERROR(VLOOKUP(B488,#REF!,16,FALSE),"")</f>
        <v/>
      </c>
      <c r="S488" s="17">
        <v>300000</v>
      </c>
      <c r="T488" s="17">
        <v>27000</v>
      </c>
      <c r="U488" s="17">
        <v>615000</v>
      </c>
      <c r="V488" s="17">
        <v>0</v>
      </c>
      <c r="W488" s="20">
        <v>11043000</v>
      </c>
      <c r="X488" s="16">
        <v>1549.9</v>
      </c>
      <c r="Y488" s="21">
        <v>78.5</v>
      </c>
      <c r="Z488" s="20">
        <v>7125</v>
      </c>
      <c r="AA488" s="17">
        <v>140655</v>
      </c>
      <c r="AB488" s="22">
        <v>19.7</v>
      </c>
      <c r="AC488" s="23">
        <f t="shared" si="47"/>
        <v>150</v>
      </c>
      <c r="AD488" s="17">
        <v>112200</v>
      </c>
      <c r="AE488" s="17">
        <v>264796</v>
      </c>
      <c r="AF488" s="17">
        <v>889100</v>
      </c>
      <c r="AG488" s="17">
        <v>1370600</v>
      </c>
      <c r="AH488" s="15" t="s">
        <v>42</v>
      </c>
    </row>
    <row r="489" spans="1:34">
      <c r="A489" s="13" t="str">
        <f t="shared" si="42"/>
        <v>OverStock</v>
      </c>
      <c r="B489" s="14" t="s">
        <v>416</v>
      </c>
      <c r="C489" s="15" t="s">
        <v>280</v>
      </c>
      <c r="D489" s="19">
        <f t="shared" si="43"/>
        <v>8</v>
      </c>
      <c r="E489" s="16" t="str">
        <f t="shared" si="44"/>
        <v>--</v>
      </c>
      <c r="F489" s="16">
        <f t="shared" si="45"/>
        <v>80</v>
      </c>
      <c r="G489" s="16" t="str">
        <f t="shared" si="46"/>
        <v>--</v>
      </c>
      <c r="H489" s="24" t="str">
        <f>IFERROR(VLOOKUP(B489,#REF!,8,FALSE),"")</f>
        <v/>
      </c>
      <c r="I489" s="17">
        <v>30000</v>
      </c>
      <c r="J489" s="17">
        <v>0</v>
      </c>
      <c r="K489" s="24" t="str">
        <f>IFERROR(VLOOKUP(B489,#REF!,11,FALSE),"")</f>
        <v/>
      </c>
      <c r="L489" s="17">
        <v>3000</v>
      </c>
      <c r="M489" s="6" t="s">
        <v>748</v>
      </c>
      <c r="N489" s="18" t="str">
        <f>IFERROR(VLOOKUP(B489,#REF!,13,FALSE),"")</f>
        <v/>
      </c>
      <c r="O489" s="19" t="str">
        <f>IFERROR(VLOOKUP(B489,#REF!,14,FALSE),"")</f>
        <v/>
      </c>
      <c r="P489" s="19" t="str">
        <f>IFERROR(VLOOKUP(B489,#REF!,15,FALSE),"")</f>
        <v/>
      </c>
      <c r="Q489" s="19"/>
      <c r="R489" s="25" t="str">
        <f>IFERROR(VLOOKUP(B489,#REF!,16,FALSE),"")</f>
        <v/>
      </c>
      <c r="S489" s="17">
        <v>0</v>
      </c>
      <c r="T489" s="17">
        <v>0</v>
      </c>
      <c r="U489" s="17">
        <v>3000</v>
      </c>
      <c r="V489" s="17">
        <v>0</v>
      </c>
      <c r="W489" s="20">
        <v>33000</v>
      </c>
      <c r="X489" s="16">
        <v>88</v>
      </c>
      <c r="Y489" s="21" t="s">
        <v>40</v>
      </c>
      <c r="Z489" s="20">
        <v>375</v>
      </c>
      <c r="AA489" s="17" t="s">
        <v>40</v>
      </c>
      <c r="AB489" s="22" t="s">
        <v>41</v>
      </c>
      <c r="AC489" s="23" t="str">
        <f t="shared" si="47"/>
        <v>E</v>
      </c>
      <c r="AD489" s="17">
        <v>0</v>
      </c>
      <c r="AE489" s="17">
        <v>0</v>
      </c>
      <c r="AF489" s="17">
        <v>0</v>
      </c>
      <c r="AG489" s="17">
        <v>0</v>
      </c>
      <c r="AH489" s="15" t="s">
        <v>42</v>
      </c>
    </row>
    <row r="490" spans="1:34">
      <c r="A490" s="13" t="str">
        <f t="shared" si="42"/>
        <v>OverStock</v>
      </c>
      <c r="B490" s="14" t="s">
        <v>417</v>
      </c>
      <c r="C490" s="15" t="s">
        <v>280</v>
      </c>
      <c r="D490" s="19">
        <f t="shared" si="43"/>
        <v>3.2</v>
      </c>
      <c r="E490" s="16">
        <f t="shared" si="44"/>
        <v>3.1</v>
      </c>
      <c r="F490" s="16">
        <f t="shared" si="45"/>
        <v>35.200000000000003</v>
      </c>
      <c r="G490" s="16">
        <f t="shared" si="46"/>
        <v>34.6</v>
      </c>
      <c r="H490" s="24" t="str">
        <f>IFERROR(VLOOKUP(B490,#REF!,8,FALSE),"")</f>
        <v/>
      </c>
      <c r="I490" s="17">
        <v>38319000</v>
      </c>
      <c r="J490" s="17">
        <v>8118000</v>
      </c>
      <c r="K490" s="24" t="str">
        <f>IFERROR(VLOOKUP(B490,#REF!,11,FALSE),"")</f>
        <v/>
      </c>
      <c r="L490" s="17">
        <v>3483000</v>
      </c>
      <c r="M490" s="6" t="s">
        <v>748</v>
      </c>
      <c r="N490" s="18" t="str">
        <f>IFERROR(VLOOKUP(B490,#REF!,13,FALSE),"")</f>
        <v/>
      </c>
      <c r="O490" s="19" t="str">
        <f>IFERROR(VLOOKUP(B490,#REF!,14,FALSE),"")</f>
        <v/>
      </c>
      <c r="P490" s="19" t="str">
        <f>IFERROR(VLOOKUP(B490,#REF!,15,FALSE),"")</f>
        <v/>
      </c>
      <c r="Q490" s="19"/>
      <c r="R490" s="25" t="str">
        <f>IFERROR(VLOOKUP(B490,#REF!,16,FALSE),"")</f>
        <v/>
      </c>
      <c r="S490" s="17">
        <v>1002000</v>
      </c>
      <c r="T490" s="17">
        <v>285000</v>
      </c>
      <c r="U490" s="17">
        <v>2196000</v>
      </c>
      <c r="V490" s="17">
        <v>0</v>
      </c>
      <c r="W490" s="20">
        <v>41802000</v>
      </c>
      <c r="X490" s="16">
        <v>38.4</v>
      </c>
      <c r="Y490" s="21">
        <v>37.700000000000003</v>
      </c>
      <c r="Z490" s="20">
        <v>1088625</v>
      </c>
      <c r="AA490" s="17">
        <v>1108062</v>
      </c>
      <c r="AB490" s="22">
        <v>1</v>
      </c>
      <c r="AC490" s="23">
        <f t="shared" si="47"/>
        <v>100</v>
      </c>
      <c r="AD490" s="17">
        <v>1931568</v>
      </c>
      <c r="AE490" s="17">
        <v>5537434</v>
      </c>
      <c r="AF490" s="17">
        <v>2752120</v>
      </c>
      <c r="AG490" s="17">
        <v>2706380</v>
      </c>
      <c r="AH490" s="15" t="s">
        <v>42</v>
      </c>
    </row>
    <row r="491" spans="1:34">
      <c r="A491" s="13" t="str">
        <f t="shared" si="42"/>
        <v>OverStock</v>
      </c>
      <c r="B491" s="14" t="s">
        <v>418</v>
      </c>
      <c r="C491" s="15" t="s">
        <v>280</v>
      </c>
      <c r="D491" s="19">
        <f t="shared" si="43"/>
        <v>3.7</v>
      </c>
      <c r="E491" s="16">
        <f t="shared" si="44"/>
        <v>4.3</v>
      </c>
      <c r="F491" s="16">
        <f t="shared" si="45"/>
        <v>31.7</v>
      </c>
      <c r="G491" s="16">
        <f t="shared" si="46"/>
        <v>36.799999999999997</v>
      </c>
      <c r="H491" s="24" t="str">
        <f>IFERROR(VLOOKUP(B491,#REF!,8,FALSE),"")</f>
        <v/>
      </c>
      <c r="I491" s="17">
        <v>34410000</v>
      </c>
      <c r="J491" s="17">
        <v>7917000</v>
      </c>
      <c r="K491" s="24" t="str">
        <f>IFERROR(VLOOKUP(B491,#REF!,11,FALSE),"")</f>
        <v/>
      </c>
      <c r="L491" s="17">
        <v>4020000</v>
      </c>
      <c r="M491" s="6" t="s">
        <v>748</v>
      </c>
      <c r="N491" s="18" t="str">
        <f>IFERROR(VLOOKUP(B491,#REF!,13,FALSE),"")</f>
        <v/>
      </c>
      <c r="O491" s="19" t="str">
        <f>IFERROR(VLOOKUP(B491,#REF!,14,FALSE),"")</f>
        <v/>
      </c>
      <c r="P491" s="19" t="str">
        <f>IFERROR(VLOOKUP(B491,#REF!,15,FALSE),"")</f>
        <v/>
      </c>
      <c r="Q491" s="19"/>
      <c r="R491" s="25" t="str">
        <f>IFERROR(VLOOKUP(B491,#REF!,16,FALSE),"")</f>
        <v/>
      </c>
      <c r="S491" s="17">
        <v>642000</v>
      </c>
      <c r="T491" s="17">
        <v>231000</v>
      </c>
      <c r="U491" s="17">
        <v>3147000</v>
      </c>
      <c r="V491" s="17">
        <v>0</v>
      </c>
      <c r="W491" s="20">
        <v>38430000</v>
      </c>
      <c r="X491" s="16">
        <v>35.4</v>
      </c>
      <c r="Y491" s="21">
        <v>41.1</v>
      </c>
      <c r="Z491" s="20">
        <v>1085250</v>
      </c>
      <c r="AA491" s="17">
        <v>935944</v>
      </c>
      <c r="AB491" s="22">
        <v>0.9</v>
      </c>
      <c r="AC491" s="23">
        <f t="shared" si="47"/>
        <v>100</v>
      </c>
      <c r="AD491" s="17">
        <v>969400</v>
      </c>
      <c r="AE491" s="17">
        <v>4317300</v>
      </c>
      <c r="AF491" s="17">
        <v>3388200</v>
      </c>
      <c r="AG491" s="17">
        <v>2767500</v>
      </c>
      <c r="AH491" s="15" t="s">
        <v>42</v>
      </c>
    </row>
    <row r="492" spans="1:34">
      <c r="A492" s="13" t="str">
        <f t="shared" si="42"/>
        <v>ZeroZero</v>
      </c>
      <c r="B492" s="14" t="s">
        <v>423</v>
      </c>
      <c r="C492" s="15" t="s">
        <v>280</v>
      </c>
      <c r="D492" s="19" t="str">
        <f t="shared" si="43"/>
        <v>前八週無拉料</v>
      </c>
      <c r="E492" s="16" t="str">
        <f t="shared" si="44"/>
        <v>--</v>
      </c>
      <c r="F492" s="16" t="str">
        <f t="shared" si="45"/>
        <v>--</v>
      </c>
      <c r="G492" s="16" t="str">
        <f t="shared" si="46"/>
        <v>--</v>
      </c>
      <c r="H492" s="24" t="str">
        <f>IFERROR(VLOOKUP(B492,#REF!,8,FALSE),"")</f>
        <v/>
      </c>
      <c r="I492" s="17">
        <v>3000</v>
      </c>
      <c r="J492" s="17">
        <v>3000</v>
      </c>
      <c r="K492" s="24" t="str">
        <f>IFERROR(VLOOKUP(B492,#REF!,11,FALSE),"")</f>
        <v/>
      </c>
      <c r="L492" s="17">
        <v>0</v>
      </c>
      <c r="M492" s="6" t="s">
        <v>758</v>
      </c>
      <c r="N492" s="18" t="str">
        <f>IFERROR(VLOOKUP(B492,#REF!,13,FALSE),"")</f>
        <v/>
      </c>
      <c r="O492" s="19" t="str">
        <f>IFERROR(VLOOKUP(B492,#REF!,14,FALSE),"")</f>
        <v/>
      </c>
      <c r="P492" s="19" t="str">
        <f>IFERROR(VLOOKUP(B492,#REF!,15,FALSE),"")</f>
        <v/>
      </c>
      <c r="Q492" s="19"/>
      <c r="R492" s="25" t="str">
        <f>IFERROR(VLOOKUP(B492,#REF!,16,FALSE),"")</f>
        <v/>
      </c>
      <c r="S492" s="17">
        <v>0</v>
      </c>
      <c r="T492" s="17">
        <v>0</v>
      </c>
      <c r="U492" s="17">
        <v>0</v>
      </c>
      <c r="V492" s="17">
        <v>0</v>
      </c>
      <c r="W492" s="20">
        <v>3000</v>
      </c>
      <c r="X492" s="16" t="s">
        <v>40</v>
      </c>
      <c r="Y492" s="21" t="s">
        <v>40</v>
      </c>
      <c r="Z492" s="20">
        <v>0</v>
      </c>
      <c r="AA492" s="17" t="s">
        <v>40</v>
      </c>
      <c r="AB492" s="22" t="s">
        <v>41</v>
      </c>
      <c r="AC492" s="23" t="str">
        <f t="shared" si="47"/>
        <v>E</v>
      </c>
      <c r="AD492" s="17">
        <v>0</v>
      </c>
      <c r="AE492" s="17">
        <v>0</v>
      </c>
      <c r="AF492" s="17">
        <v>0</v>
      </c>
      <c r="AG492" s="17">
        <v>0</v>
      </c>
      <c r="AH492" s="15" t="s">
        <v>42</v>
      </c>
    </row>
    <row r="493" spans="1:34">
      <c r="A493" s="13" t="str">
        <f t="shared" si="42"/>
        <v>FCST</v>
      </c>
      <c r="B493" s="14" t="s">
        <v>424</v>
      </c>
      <c r="C493" s="15" t="s">
        <v>280</v>
      </c>
      <c r="D493" s="19" t="str">
        <f t="shared" si="43"/>
        <v>前八週無拉料</v>
      </c>
      <c r="E493" s="16">
        <f t="shared" si="44"/>
        <v>4.3</v>
      </c>
      <c r="F493" s="16" t="str">
        <f t="shared" si="45"/>
        <v>--</v>
      </c>
      <c r="G493" s="16">
        <f t="shared" si="46"/>
        <v>0</v>
      </c>
      <c r="H493" s="24" t="str">
        <f>IFERROR(VLOOKUP(B493,#REF!,8,FALSE),"")</f>
        <v/>
      </c>
      <c r="I493" s="17">
        <v>0</v>
      </c>
      <c r="J493" s="17">
        <v>0</v>
      </c>
      <c r="K493" s="24" t="str">
        <f>IFERROR(VLOOKUP(B493,#REF!,11,FALSE),"")</f>
        <v/>
      </c>
      <c r="L493" s="17">
        <v>3000</v>
      </c>
      <c r="M493" s="6" t="s">
        <v>758</v>
      </c>
      <c r="N493" s="18" t="str">
        <f>IFERROR(VLOOKUP(B493,#REF!,13,FALSE),"")</f>
        <v/>
      </c>
      <c r="O493" s="19" t="str">
        <f>IFERROR(VLOOKUP(B493,#REF!,14,FALSE),"")</f>
        <v/>
      </c>
      <c r="P493" s="19" t="str">
        <f>IFERROR(VLOOKUP(B493,#REF!,15,FALSE),"")</f>
        <v/>
      </c>
      <c r="Q493" s="19"/>
      <c r="R493" s="25" t="str">
        <f>IFERROR(VLOOKUP(B493,#REF!,16,FALSE),"")</f>
        <v/>
      </c>
      <c r="S493" s="17">
        <v>0</v>
      </c>
      <c r="T493" s="17">
        <v>3000</v>
      </c>
      <c r="U493" s="17">
        <v>0</v>
      </c>
      <c r="V493" s="17">
        <v>0</v>
      </c>
      <c r="W493" s="20">
        <v>3000</v>
      </c>
      <c r="X493" s="16" t="s">
        <v>40</v>
      </c>
      <c r="Y493" s="21">
        <v>4.3</v>
      </c>
      <c r="Z493" s="20">
        <v>0</v>
      </c>
      <c r="AA493" s="17">
        <v>702</v>
      </c>
      <c r="AB493" s="22" t="s">
        <v>51</v>
      </c>
      <c r="AC493" s="23" t="str">
        <f t="shared" si="47"/>
        <v>F</v>
      </c>
      <c r="AD493" s="17">
        <v>0</v>
      </c>
      <c r="AE493" s="17">
        <v>3314</v>
      </c>
      <c r="AF493" s="17">
        <v>3000</v>
      </c>
      <c r="AG493" s="17">
        <v>0</v>
      </c>
      <c r="AH493" s="15" t="s">
        <v>42</v>
      </c>
    </row>
    <row r="494" spans="1:34">
      <c r="A494" s="13" t="str">
        <f t="shared" si="42"/>
        <v>Normal</v>
      </c>
      <c r="B494" s="14" t="s">
        <v>426</v>
      </c>
      <c r="C494" s="15" t="s">
        <v>280</v>
      </c>
      <c r="D494" s="19">
        <f t="shared" si="43"/>
        <v>8</v>
      </c>
      <c r="E494" s="16">
        <f t="shared" si="44"/>
        <v>33.299999999999997</v>
      </c>
      <c r="F494" s="16">
        <f t="shared" si="45"/>
        <v>0</v>
      </c>
      <c r="G494" s="16">
        <f t="shared" si="46"/>
        <v>0</v>
      </c>
      <c r="H494" s="24" t="str">
        <f>IFERROR(VLOOKUP(B494,#REF!,8,FALSE),"")</f>
        <v/>
      </c>
      <c r="I494" s="17">
        <v>0</v>
      </c>
      <c r="J494" s="17">
        <v>0</v>
      </c>
      <c r="K494" s="24" t="str">
        <f>IFERROR(VLOOKUP(B494,#REF!,11,FALSE),"")</f>
        <v/>
      </c>
      <c r="L494" s="17">
        <v>3000</v>
      </c>
      <c r="M494" s="6" t="s">
        <v>758</v>
      </c>
      <c r="N494" s="18" t="str">
        <f>IFERROR(VLOOKUP(B494,#REF!,13,FALSE),"")</f>
        <v/>
      </c>
      <c r="O494" s="19" t="str">
        <f>IFERROR(VLOOKUP(B494,#REF!,14,FALSE),"")</f>
        <v/>
      </c>
      <c r="P494" s="19" t="str">
        <f>IFERROR(VLOOKUP(B494,#REF!,15,FALSE),"")</f>
        <v/>
      </c>
      <c r="Q494" s="19"/>
      <c r="R494" s="25" t="str">
        <f>IFERROR(VLOOKUP(B494,#REF!,16,FALSE),"")</f>
        <v/>
      </c>
      <c r="S494" s="17">
        <v>0</v>
      </c>
      <c r="T494" s="17">
        <v>3000</v>
      </c>
      <c r="U494" s="17">
        <v>0</v>
      </c>
      <c r="V494" s="17">
        <v>0</v>
      </c>
      <c r="W494" s="20">
        <v>3000</v>
      </c>
      <c r="X494" s="16">
        <v>8</v>
      </c>
      <c r="Y494" s="21">
        <v>33.299999999999997</v>
      </c>
      <c r="Z494" s="20">
        <v>375</v>
      </c>
      <c r="AA494" s="17">
        <v>90</v>
      </c>
      <c r="AB494" s="22">
        <v>0.2</v>
      </c>
      <c r="AC494" s="23">
        <f t="shared" si="47"/>
        <v>50</v>
      </c>
      <c r="AD494" s="17">
        <v>0</v>
      </c>
      <c r="AE494" s="17">
        <v>310</v>
      </c>
      <c r="AF494" s="17">
        <v>500</v>
      </c>
      <c r="AG494" s="17">
        <v>650</v>
      </c>
      <c r="AH494" s="15" t="s">
        <v>42</v>
      </c>
    </row>
    <row r="495" spans="1:34">
      <c r="A495" s="13" t="str">
        <f t="shared" si="42"/>
        <v>OverStock</v>
      </c>
      <c r="B495" s="14" t="s">
        <v>427</v>
      </c>
      <c r="C495" s="15" t="s">
        <v>280</v>
      </c>
      <c r="D495" s="19">
        <f t="shared" si="43"/>
        <v>2</v>
      </c>
      <c r="E495" s="16" t="str">
        <f t="shared" si="44"/>
        <v>--</v>
      </c>
      <c r="F495" s="16">
        <f t="shared" si="45"/>
        <v>40</v>
      </c>
      <c r="G495" s="16" t="str">
        <f t="shared" si="46"/>
        <v>--</v>
      </c>
      <c r="H495" s="24" t="str">
        <f>IFERROR(VLOOKUP(B495,#REF!,8,FALSE),"")</f>
        <v/>
      </c>
      <c r="I495" s="17">
        <v>60000</v>
      </c>
      <c r="J495" s="17">
        <v>0</v>
      </c>
      <c r="K495" s="24" t="str">
        <f>IFERROR(VLOOKUP(B495,#REF!,11,FALSE),"")</f>
        <v/>
      </c>
      <c r="L495" s="17">
        <v>3000</v>
      </c>
      <c r="M495" s="6" t="s">
        <v>752</v>
      </c>
      <c r="N495" s="18" t="str">
        <f>IFERROR(VLOOKUP(B495,#REF!,13,FALSE),"")</f>
        <v/>
      </c>
      <c r="O495" s="19" t="str">
        <f>IFERROR(VLOOKUP(B495,#REF!,14,FALSE),"")</f>
        <v/>
      </c>
      <c r="P495" s="19" t="str">
        <f>IFERROR(VLOOKUP(B495,#REF!,15,FALSE),"")</f>
        <v/>
      </c>
      <c r="Q495" s="19"/>
      <c r="R495" s="25" t="str">
        <f>IFERROR(VLOOKUP(B495,#REF!,16,FALSE),"")</f>
        <v/>
      </c>
      <c r="S495" s="17">
        <v>0</v>
      </c>
      <c r="T495" s="17">
        <v>3000</v>
      </c>
      <c r="U495" s="17">
        <v>0</v>
      </c>
      <c r="V495" s="17">
        <v>0</v>
      </c>
      <c r="W495" s="20">
        <v>63000</v>
      </c>
      <c r="X495" s="16">
        <v>42</v>
      </c>
      <c r="Y495" s="21" t="s">
        <v>40</v>
      </c>
      <c r="Z495" s="20">
        <v>1500</v>
      </c>
      <c r="AA495" s="17" t="s">
        <v>40</v>
      </c>
      <c r="AB495" s="22" t="s">
        <v>41</v>
      </c>
      <c r="AC495" s="23" t="str">
        <f t="shared" si="47"/>
        <v>E</v>
      </c>
      <c r="AD495" s="17">
        <v>0</v>
      </c>
      <c r="AE495" s="17">
        <v>0</v>
      </c>
      <c r="AF495" s="17">
        <v>0</v>
      </c>
      <c r="AG495" s="17">
        <v>0</v>
      </c>
      <c r="AH495" s="15" t="s">
        <v>42</v>
      </c>
    </row>
    <row r="496" spans="1:34">
      <c r="A496" s="13" t="str">
        <f t="shared" si="42"/>
        <v>Normal</v>
      </c>
      <c r="B496" s="14" t="s">
        <v>428</v>
      </c>
      <c r="C496" s="15" t="s">
        <v>280</v>
      </c>
      <c r="D496" s="19">
        <f t="shared" si="43"/>
        <v>3</v>
      </c>
      <c r="E496" s="16" t="str">
        <f t="shared" si="44"/>
        <v>--</v>
      </c>
      <c r="F496" s="16">
        <f t="shared" si="45"/>
        <v>10</v>
      </c>
      <c r="G496" s="16" t="str">
        <f t="shared" si="46"/>
        <v>--</v>
      </c>
      <c r="H496" s="24" t="str">
        <f>IFERROR(VLOOKUP(B496,#REF!,8,FALSE),"")</f>
        <v/>
      </c>
      <c r="I496" s="17">
        <v>30000</v>
      </c>
      <c r="J496" s="17">
        <v>18000</v>
      </c>
      <c r="K496" s="24" t="str">
        <f>IFERROR(VLOOKUP(B496,#REF!,11,FALSE),"")</f>
        <v/>
      </c>
      <c r="L496" s="17">
        <v>9000</v>
      </c>
      <c r="M496" s="6" t="s">
        <v>755</v>
      </c>
      <c r="N496" s="18" t="str">
        <f>IFERROR(VLOOKUP(B496,#REF!,13,FALSE),"")</f>
        <v/>
      </c>
      <c r="O496" s="19" t="str">
        <f>IFERROR(VLOOKUP(B496,#REF!,14,FALSE),"")</f>
        <v/>
      </c>
      <c r="P496" s="19" t="str">
        <f>IFERROR(VLOOKUP(B496,#REF!,15,FALSE),"")</f>
        <v/>
      </c>
      <c r="Q496" s="19"/>
      <c r="R496" s="25" t="str">
        <f>IFERROR(VLOOKUP(B496,#REF!,16,FALSE),"")</f>
        <v/>
      </c>
      <c r="S496" s="17">
        <v>0</v>
      </c>
      <c r="T496" s="17">
        <v>9000</v>
      </c>
      <c r="U496" s="17">
        <v>0</v>
      </c>
      <c r="V496" s="17">
        <v>0</v>
      </c>
      <c r="W496" s="20">
        <v>39000</v>
      </c>
      <c r="X496" s="16">
        <v>13</v>
      </c>
      <c r="Y496" s="21" t="s">
        <v>40</v>
      </c>
      <c r="Z496" s="20">
        <v>3000</v>
      </c>
      <c r="AA496" s="17" t="s">
        <v>40</v>
      </c>
      <c r="AB496" s="22" t="s">
        <v>41</v>
      </c>
      <c r="AC496" s="23" t="str">
        <f t="shared" si="47"/>
        <v>E</v>
      </c>
      <c r="AD496" s="17">
        <v>0</v>
      </c>
      <c r="AE496" s="17">
        <v>0</v>
      </c>
      <c r="AF496" s="17">
        <v>0</v>
      </c>
      <c r="AG496" s="17">
        <v>0</v>
      </c>
      <c r="AH496" s="15" t="s">
        <v>42</v>
      </c>
    </row>
    <row r="497" spans="1:34">
      <c r="A497" s="13" t="str">
        <f t="shared" si="42"/>
        <v>OverStock</v>
      </c>
      <c r="B497" s="14" t="s">
        <v>430</v>
      </c>
      <c r="C497" s="15" t="s">
        <v>280</v>
      </c>
      <c r="D497" s="19">
        <f t="shared" si="43"/>
        <v>8</v>
      </c>
      <c r="E497" s="16" t="str">
        <f t="shared" si="44"/>
        <v>--</v>
      </c>
      <c r="F497" s="16">
        <f t="shared" si="45"/>
        <v>16</v>
      </c>
      <c r="G497" s="16" t="str">
        <f t="shared" si="46"/>
        <v>--</v>
      </c>
      <c r="H497" s="24" t="str">
        <f>IFERROR(VLOOKUP(B497,#REF!,8,FALSE),"")</f>
        <v/>
      </c>
      <c r="I497" s="17">
        <v>6000</v>
      </c>
      <c r="J497" s="17">
        <v>6000</v>
      </c>
      <c r="K497" s="24" t="str">
        <f>IFERROR(VLOOKUP(B497,#REF!,11,FALSE),"")</f>
        <v/>
      </c>
      <c r="L497" s="17">
        <v>3000</v>
      </c>
      <c r="M497" s="6" t="s">
        <v>758</v>
      </c>
      <c r="N497" s="18" t="str">
        <f>IFERROR(VLOOKUP(B497,#REF!,13,FALSE),"")</f>
        <v/>
      </c>
      <c r="O497" s="19" t="str">
        <f>IFERROR(VLOOKUP(B497,#REF!,14,FALSE),"")</f>
        <v/>
      </c>
      <c r="P497" s="19" t="str">
        <f>IFERROR(VLOOKUP(B497,#REF!,15,FALSE),"")</f>
        <v/>
      </c>
      <c r="Q497" s="19"/>
      <c r="R497" s="25" t="str">
        <f>IFERROR(VLOOKUP(B497,#REF!,16,FALSE),"")</f>
        <v/>
      </c>
      <c r="S497" s="17">
        <v>0</v>
      </c>
      <c r="T497" s="17">
        <v>3000</v>
      </c>
      <c r="U497" s="17">
        <v>0</v>
      </c>
      <c r="V497" s="17">
        <v>0</v>
      </c>
      <c r="W497" s="20">
        <v>9000</v>
      </c>
      <c r="X497" s="16">
        <v>24</v>
      </c>
      <c r="Y497" s="21" t="s">
        <v>40</v>
      </c>
      <c r="Z497" s="20">
        <v>375</v>
      </c>
      <c r="AA497" s="17" t="s">
        <v>40</v>
      </c>
      <c r="AB497" s="22" t="s">
        <v>41</v>
      </c>
      <c r="AC497" s="23" t="str">
        <f t="shared" si="47"/>
        <v>E</v>
      </c>
      <c r="AD497" s="17">
        <v>0</v>
      </c>
      <c r="AE497" s="17">
        <v>0</v>
      </c>
      <c r="AF497" s="17">
        <v>0</v>
      </c>
      <c r="AG497" s="17">
        <v>0</v>
      </c>
      <c r="AH497" s="15" t="s">
        <v>42</v>
      </c>
    </row>
    <row r="498" spans="1:34">
      <c r="A498" s="13" t="str">
        <f t="shared" si="42"/>
        <v>OverStock</v>
      </c>
      <c r="B498" s="14" t="s">
        <v>431</v>
      </c>
      <c r="C498" s="15" t="s">
        <v>280</v>
      </c>
      <c r="D498" s="19">
        <f t="shared" si="43"/>
        <v>61.3</v>
      </c>
      <c r="E498" s="16">
        <f t="shared" si="44"/>
        <v>69</v>
      </c>
      <c r="F498" s="16">
        <f t="shared" si="45"/>
        <v>0</v>
      </c>
      <c r="G498" s="16">
        <f t="shared" si="46"/>
        <v>0</v>
      </c>
      <c r="H498" s="24" t="str">
        <f>IFERROR(VLOOKUP(B498,#REF!,8,FALSE),"")</f>
        <v/>
      </c>
      <c r="I498" s="17">
        <v>0</v>
      </c>
      <c r="J498" s="17">
        <v>0</v>
      </c>
      <c r="K498" s="24" t="str">
        <f>IFERROR(VLOOKUP(B498,#REF!,11,FALSE),"")</f>
        <v/>
      </c>
      <c r="L498" s="17">
        <v>69000</v>
      </c>
      <c r="M498" s="6" t="s">
        <v>751</v>
      </c>
      <c r="N498" s="18" t="str">
        <f>IFERROR(VLOOKUP(B498,#REF!,13,FALSE),"")</f>
        <v/>
      </c>
      <c r="O498" s="19" t="str">
        <f>IFERROR(VLOOKUP(B498,#REF!,14,FALSE),"")</f>
        <v/>
      </c>
      <c r="P498" s="19" t="str">
        <f>IFERROR(VLOOKUP(B498,#REF!,15,FALSE),"")</f>
        <v/>
      </c>
      <c r="Q498" s="19"/>
      <c r="R498" s="25" t="str">
        <f>IFERROR(VLOOKUP(B498,#REF!,16,FALSE),"")</f>
        <v/>
      </c>
      <c r="S498" s="17">
        <v>0</v>
      </c>
      <c r="T498" s="17">
        <v>69000</v>
      </c>
      <c r="U498" s="17">
        <v>0</v>
      </c>
      <c r="V498" s="17">
        <v>0</v>
      </c>
      <c r="W498" s="20">
        <v>69000</v>
      </c>
      <c r="X498" s="16">
        <v>61.3</v>
      </c>
      <c r="Y498" s="21">
        <v>69</v>
      </c>
      <c r="Z498" s="20">
        <v>1125</v>
      </c>
      <c r="AA498" s="17">
        <v>1000</v>
      </c>
      <c r="AB498" s="22">
        <v>0.9</v>
      </c>
      <c r="AC498" s="23">
        <f t="shared" si="47"/>
        <v>100</v>
      </c>
      <c r="AD498" s="17">
        <v>0</v>
      </c>
      <c r="AE498" s="17">
        <v>6000</v>
      </c>
      <c r="AF498" s="17">
        <v>6000</v>
      </c>
      <c r="AG498" s="17">
        <v>0</v>
      </c>
      <c r="AH498" s="15" t="s">
        <v>42</v>
      </c>
    </row>
    <row r="499" spans="1:34">
      <c r="A499" s="13" t="str">
        <f t="shared" si="42"/>
        <v>OverStock</v>
      </c>
      <c r="B499" s="14" t="s">
        <v>433</v>
      </c>
      <c r="C499" s="15" t="s">
        <v>280</v>
      </c>
      <c r="D499" s="19">
        <f t="shared" si="43"/>
        <v>9.9</v>
      </c>
      <c r="E499" s="16">
        <f t="shared" si="44"/>
        <v>7.8</v>
      </c>
      <c r="F499" s="16">
        <f t="shared" si="45"/>
        <v>34.299999999999997</v>
      </c>
      <c r="G499" s="16">
        <f t="shared" si="46"/>
        <v>27</v>
      </c>
      <c r="H499" s="24" t="str">
        <f>IFERROR(VLOOKUP(B499,#REF!,8,FALSE),"")</f>
        <v/>
      </c>
      <c r="I499" s="17">
        <v>1542000</v>
      </c>
      <c r="J499" s="17">
        <v>843000</v>
      </c>
      <c r="K499" s="24" t="str">
        <f>IFERROR(VLOOKUP(B499,#REF!,11,FALSE),"")</f>
        <v/>
      </c>
      <c r="L499" s="17">
        <v>447000</v>
      </c>
      <c r="M499" s="6" t="s">
        <v>748</v>
      </c>
      <c r="N499" s="18" t="str">
        <f>IFERROR(VLOOKUP(B499,#REF!,13,FALSE),"")</f>
        <v/>
      </c>
      <c r="O499" s="19" t="str">
        <f>IFERROR(VLOOKUP(B499,#REF!,14,FALSE),"")</f>
        <v/>
      </c>
      <c r="P499" s="19" t="str">
        <f>IFERROR(VLOOKUP(B499,#REF!,15,FALSE),"")</f>
        <v/>
      </c>
      <c r="Q499" s="19"/>
      <c r="R499" s="25" t="str">
        <f>IFERROR(VLOOKUP(B499,#REF!,16,FALSE),"")</f>
        <v/>
      </c>
      <c r="S499" s="17">
        <v>0</v>
      </c>
      <c r="T499" s="17">
        <v>0</v>
      </c>
      <c r="U499" s="17">
        <v>447000</v>
      </c>
      <c r="V499" s="17">
        <v>0</v>
      </c>
      <c r="W499" s="20">
        <v>1989000</v>
      </c>
      <c r="X499" s="16">
        <v>44.2</v>
      </c>
      <c r="Y499" s="21">
        <v>34.799999999999997</v>
      </c>
      <c r="Z499" s="20">
        <v>45000</v>
      </c>
      <c r="AA499" s="17">
        <v>57187</v>
      </c>
      <c r="AB499" s="22">
        <v>1.3</v>
      </c>
      <c r="AC499" s="23">
        <f t="shared" si="47"/>
        <v>100</v>
      </c>
      <c r="AD499" s="17">
        <v>75300</v>
      </c>
      <c r="AE499" s="17">
        <v>262588</v>
      </c>
      <c r="AF499" s="17">
        <v>219900</v>
      </c>
      <c r="AG499" s="17">
        <v>271600</v>
      </c>
      <c r="AH499" s="15" t="s">
        <v>42</v>
      </c>
    </row>
    <row r="500" spans="1:34">
      <c r="A500" s="13" t="str">
        <f t="shared" si="42"/>
        <v>OverStock</v>
      </c>
      <c r="B500" s="14" t="s">
        <v>436</v>
      </c>
      <c r="C500" s="15" t="s">
        <v>280</v>
      </c>
      <c r="D500" s="19">
        <f t="shared" si="43"/>
        <v>21.3</v>
      </c>
      <c r="E500" s="16">
        <f t="shared" si="44"/>
        <v>48</v>
      </c>
      <c r="F500" s="16">
        <f t="shared" si="45"/>
        <v>0</v>
      </c>
      <c r="G500" s="16">
        <f t="shared" si="46"/>
        <v>0</v>
      </c>
      <c r="H500" s="24" t="str">
        <f>IFERROR(VLOOKUP(B500,#REF!,8,FALSE),"")</f>
        <v/>
      </c>
      <c r="I500" s="17">
        <v>0</v>
      </c>
      <c r="J500" s="17">
        <v>0</v>
      </c>
      <c r="K500" s="24" t="str">
        <f>IFERROR(VLOOKUP(B500,#REF!,11,FALSE),"")</f>
        <v/>
      </c>
      <c r="L500" s="17">
        <v>48000</v>
      </c>
      <c r="M500" s="6" t="s">
        <v>755</v>
      </c>
      <c r="N500" s="18" t="str">
        <f>IFERROR(VLOOKUP(B500,#REF!,13,FALSE),"")</f>
        <v/>
      </c>
      <c r="O500" s="19" t="str">
        <f>IFERROR(VLOOKUP(B500,#REF!,14,FALSE),"")</f>
        <v/>
      </c>
      <c r="P500" s="19" t="str">
        <f>IFERROR(VLOOKUP(B500,#REF!,15,FALSE),"")</f>
        <v/>
      </c>
      <c r="Q500" s="19"/>
      <c r="R500" s="25" t="str">
        <f>IFERROR(VLOOKUP(B500,#REF!,16,FALSE),"")</f>
        <v/>
      </c>
      <c r="S500" s="17">
        <v>0</v>
      </c>
      <c r="T500" s="17">
        <v>48000</v>
      </c>
      <c r="U500" s="17">
        <v>0</v>
      </c>
      <c r="V500" s="17">
        <v>0</v>
      </c>
      <c r="W500" s="20">
        <v>48000</v>
      </c>
      <c r="X500" s="16">
        <v>21.3</v>
      </c>
      <c r="Y500" s="21">
        <v>48</v>
      </c>
      <c r="Z500" s="20">
        <v>2250</v>
      </c>
      <c r="AA500" s="17">
        <v>1000</v>
      </c>
      <c r="AB500" s="22">
        <v>0.4</v>
      </c>
      <c r="AC500" s="23">
        <f t="shared" si="47"/>
        <v>50</v>
      </c>
      <c r="AD500" s="17">
        <v>3000</v>
      </c>
      <c r="AE500" s="17">
        <v>3000</v>
      </c>
      <c r="AF500" s="17">
        <v>3000</v>
      </c>
      <c r="AG500" s="17">
        <v>0</v>
      </c>
      <c r="AH500" s="15" t="s">
        <v>42</v>
      </c>
    </row>
    <row r="501" spans="1:34">
      <c r="A501" s="13" t="str">
        <f t="shared" si="42"/>
        <v>Normal</v>
      </c>
      <c r="B501" s="14" t="s">
        <v>438</v>
      </c>
      <c r="C501" s="15" t="s">
        <v>280</v>
      </c>
      <c r="D501" s="19">
        <f t="shared" si="43"/>
        <v>6.4</v>
      </c>
      <c r="E501" s="16">
        <f t="shared" si="44"/>
        <v>21.6</v>
      </c>
      <c r="F501" s="16">
        <f t="shared" si="45"/>
        <v>3.2</v>
      </c>
      <c r="G501" s="16">
        <f t="shared" si="46"/>
        <v>10.8</v>
      </c>
      <c r="H501" s="24" t="str">
        <f>IFERROR(VLOOKUP(B501,#REF!,8,FALSE),"")</f>
        <v/>
      </c>
      <c r="I501" s="17">
        <v>18000</v>
      </c>
      <c r="J501" s="17">
        <v>18000</v>
      </c>
      <c r="K501" s="24" t="str">
        <f>IFERROR(VLOOKUP(B501,#REF!,11,FALSE),"")</f>
        <v/>
      </c>
      <c r="L501" s="17">
        <v>36000</v>
      </c>
      <c r="M501" s="6" t="s">
        <v>752</v>
      </c>
      <c r="N501" s="18" t="str">
        <f>IFERROR(VLOOKUP(B501,#REF!,13,FALSE),"")</f>
        <v/>
      </c>
      <c r="O501" s="19" t="str">
        <f>IFERROR(VLOOKUP(B501,#REF!,14,FALSE),"")</f>
        <v/>
      </c>
      <c r="P501" s="19" t="str">
        <f>IFERROR(VLOOKUP(B501,#REF!,15,FALSE),"")</f>
        <v/>
      </c>
      <c r="Q501" s="19"/>
      <c r="R501" s="25" t="str">
        <f>IFERROR(VLOOKUP(B501,#REF!,16,FALSE),"")</f>
        <v/>
      </c>
      <c r="S501" s="17">
        <v>0</v>
      </c>
      <c r="T501" s="17">
        <v>36000</v>
      </c>
      <c r="U501" s="17">
        <v>0</v>
      </c>
      <c r="V501" s="17">
        <v>0</v>
      </c>
      <c r="W501" s="20">
        <v>54000</v>
      </c>
      <c r="X501" s="16">
        <v>9.6</v>
      </c>
      <c r="Y501" s="21">
        <v>32.4</v>
      </c>
      <c r="Z501" s="20">
        <v>5625</v>
      </c>
      <c r="AA501" s="17">
        <v>1667</v>
      </c>
      <c r="AB501" s="22">
        <v>0.3</v>
      </c>
      <c r="AC501" s="23">
        <f t="shared" si="47"/>
        <v>50</v>
      </c>
      <c r="AD501" s="17">
        <v>6000</v>
      </c>
      <c r="AE501" s="17">
        <v>6000</v>
      </c>
      <c r="AF501" s="17">
        <v>3000</v>
      </c>
      <c r="AG501" s="17">
        <v>0</v>
      </c>
      <c r="AH501" s="15" t="s">
        <v>42</v>
      </c>
    </row>
    <row r="502" spans="1:34">
      <c r="A502" s="13" t="str">
        <f t="shared" si="42"/>
        <v>None</v>
      </c>
      <c r="B502" s="14" t="s">
        <v>443</v>
      </c>
      <c r="C502" s="15" t="s">
        <v>280</v>
      </c>
      <c r="D502" s="19" t="str">
        <f t="shared" si="43"/>
        <v>前八週無拉料</v>
      </c>
      <c r="E502" s="16" t="str">
        <f t="shared" si="44"/>
        <v>--</v>
      </c>
      <c r="F502" s="16" t="str">
        <f t="shared" si="45"/>
        <v>--</v>
      </c>
      <c r="G502" s="16" t="str">
        <f t="shared" si="46"/>
        <v>--</v>
      </c>
      <c r="H502" s="24" t="str">
        <f>IFERROR(VLOOKUP(B502,#REF!,8,FALSE),"")</f>
        <v/>
      </c>
      <c r="I502" s="17">
        <v>0</v>
      </c>
      <c r="J502" s="17">
        <v>0</v>
      </c>
      <c r="K502" s="24" t="str">
        <f>IFERROR(VLOOKUP(B502,#REF!,11,FALSE),"")</f>
        <v/>
      </c>
      <c r="L502" s="17">
        <v>0</v>
      </c>
      <c r="M502" s="6" t="s">
        <v>748</v>
      </c>
      <c r="N502" s="18" t="str">
        <f>IFERROR(VLOOKUP(B502,#REF!,13,FALSE),"")</f>
        <v/>
      </c>
      <c r="O502" s="19" t="str">
        <f>IFERROR(VLOOKUP(B502,#REF!,14,FALSE),"")</f>
        <v/>
      </c>
      <c r="P502" s="19" t="str">
        <f>IFERROR(VLOOKUP(B502,#REF!,15,FALSE),"")</f>
        <v/>
      </c>
      <c r="Q502" s="19"/>
      <c r="R502" s="25" t="str">
        <f>IFERROR(VLOOKUP(B502,#REF!,16,FALSE),"")</f>
        <v/>
      </c>
      <c r="S502" s="17">
        <v>0</v>
      </c>
      <c r="T502" s="17">
        <v>0</v>
      </c>
      <c r="U502" s="17">
        <v>0</v>
      </c>
      <c r="V502" s="17">
        <v>0</v>
      </c>
      <c r="W502" s="20">
        <v>0</v>
      </c>
      <c r="X502" s="16" t="s">
        <v>40</v>
      </c>
      <c r="Y502" s="21" t="s">
        <v>40</v>
      </c>
      <c r="Z502" s="20">
        <v>0</v>
      </c>
      <c r="AA502" s="17" t="s">
        <v>40</v>
      </c>
      <c r="AB502" s="22" t="s">
        <v>41</v>
      </c>
      <c r="AC502" s="23" t="str">
        <f t="shared" si="47"/>
        <v>E</v>
      </c>
      <c r="AD502" s="17">
        <v>0</v>
      </c>
      <c r="AE502" s="17">
        <v>0</v>
      </c>
      <c r="AF502" s="17">
        <v>0</v>
      </c>
      <c r="AG502" s="17">
        <v>0</v>
      </c>
      <c r="AH502" s="15" t="s">
        <v>42</v>
      </c>
    </row>
    <row r="503" spans="1:34">
      <c r="A503" s="13" t="str">
        <f t="shared" si="42"/>
        <v>OverStock</v>
      </c>
      <c r="B503" s="14" t="s">
        <v>448</v>
      </c>
      <c r="C503" s="15" t="s">
        <v>280</v>
      </c>
      <c r="D503" s="19">
        <f t="shared" si="43"/>
        <v>10.199999999999999</v>
      </c>
      <c r="E503" s="16">
        <f t="shared" si="44"/>
        <v>4.8</v>
      </c>
      <c r="F503" s="16">
        <f t="shared" si="45"/>
        <v>51.5</v>
      </c>
      <c r="G503" s="16">
        <f t="shared" si="46"/>
        <v>24.4</v>
      </c>
      <c r="H503" s="24" t="str">
        <f>IFERROR(VLOOKUP(B503,#REF!,8,FALSE),"")</f>
        <v/>
      </c>
      <c r="I503" s="17">
        <v>7164000</v>
      </c>
      <c r="J503" s="17">
        <v>3006000</v>
      </c>
      <c r="K503" s="24" t="str">
        <f>IFERROR(VLOOKUP(B503,#REF!,11,FALSE),"")</f>
        <v/>
      </c>
      <c r="L503" s="17">
        <v>1419000</v>
      </c>
      <c r="M503" s="6" t="s">
        <v>748</v>
      </c>
      <c r="N503" s="18" t="str">
        <f>IFERROR(VLOOKUP(B503,#REF!,13,FALSE),"")</f>
        <v/>
      </c>
      <c r="O503" s="19" t="str">
        <f>IFERROR(VLOOKUP(B503,#REF!,14,FALSE),"")</f>
        <v/>
      </c>
      <c r="P503" s="19" t="str">
        <f>IFERROR(VLOOKUP(B503,#REF!,15,FALSE),"")</f>
        <v/>
      </c>
      <c r="Q503" s="19"/>
      <c r="R503" s="25" t="str">
        <f>IFERROR(VLOOKUP(B503,#REF!,16,FALSE),"")</f>
        <v/>
      </c>
      <c r="S503" s="17">
        <v>36000</v>
      </c>
      <c r="T503" s="17">
        <v>360000</v>
      </c>
      <c r="U503" s="17">
        <v>1023000</v>
      </c>
      <c r="V503" s="17">
        <v>0</v>
      </c>
      <c r="W503" s="20">
        <v>8583000</v>
      </c>
      <c r="X503" s="16">
        <v>61.7</v>
      </c>
      <c r="Y503" s="21">
        <v>29.2</v>
      </c>
      <c r="Z503" s="20">
        <v>139125</v>
      </c>
      <c r="AA503" s="17">
        <v>293471</v>
      </c>
      <c r="AB503" s="22">
        <v>2.1</v>
      </c>
      <c r="AC503" s="23">
        <f t="shared" si="47"/>
        <v>150</v>
      </c>
      <c r="AD503" s="17">
        <v>261900</v>
      </c>
      <c r="AE503" s="17">
        <v>1376126</v>
      </c>
      <c r="AF503" s="17">
        <v>1041860</v>
      </c>
      <c r="AG503" s="17">
        <v>854200</v>
      </c>
      <c r="AH503" s="15" t="s">
        <v>42</v>
      </c>
    </row>
    <row r="504" spans="1:34">
      <c r="A504" s="13" t="str">
        <f t="shared" si="42"/>
        <v>Normal</v>
      </c>
      <c r="B504" s="14" t="s">
        <v>449</v>
      </c>
      <c r="C504" s="15" t="s">
        <v>280</v>
      </c>
      <c r="D504" s="19">
        <f t="shared" si="43"/>
        <v>12</v>
      </c>
      <c r="E504" s="16" t="str">
        <f t="shared" si="44"/>
        <v>--</v>
      </c>
      <c r="F504" s="16">
        <f t="shared" si="45"/>
        <v>4</v>
      </c>
      <c r="G504" s="16" t="str">
        <f t="shared" si="46"/>
        <v>--</v>
      </c>
      <c r="H504" s="24" t="str">
        <f>IFERROR(VLOOKUP(B504,#REF!,8,FALSE),"")</f>
        <v/>
      </c>
      <c r="I504" s="17">
        <v>3000</v>
      </c>
      <c r="J504" s="17">
        <v>0</v>
      </c>
      <c r="K504" s="24" t="str">
        <f>IFERROR(VLOOKUP(B504,#REF!,11,FALSE),"")</f>
        <v/>
      </c>
      <c r="L504" s="17">
        <v>9000</v>
      </c>
      <c r="M504" s="6" t="s">
        <v>751</v>
      </c>
      <c r="N504" s="18" t="str">
        <f>IFERROR(VLOOKUP(B504,#REF!,13,FALSE),"")</f>
        <v/>
      </c>
      <c r="O504" s="19" t="str">
        <f>IFERROR(VLOOKUP(B504,#REF!,14,FALSE),"")</f>
        <v/>
      </c>
      <c r="P504" s="19" t="str">
        <f>IFERROR(VLOOKUP(B504,#REF!,15,FALSE),"")</f>
        <v/>
      </c>
      <c r="Q504" s="19"/>
      <c r="R504" s="25" t="str">
        <f>IFERROR(VLOOKUP(B504,#REF!,16,FALSE),"")</f>
        <v/>
      </c>
      <c r="S504" s="17">
        <v>0</v>
      </c>
      <c r="T504" s="17">
        <v>0</v>
      </c>
      <c r="U504" s="17">
        <v>9000</v>
      </c>
      <c r="V504" s="17">
        <v>0</v>
      </c>
      <c r="W504" s="20">
        <v>12000</v>
      </c>
      <c r="X504" s="16">
        <v>16</v>
      </c>
      <c r="Y504" s="21" t="s">
        <v>40</v>
      </c>
      <c r="Z504" s="20">
        <v>750</v>
      </c>
      <c r="AA504" s="17">
        <v>0</v>
      </c>
      <c r="AB504" s="22" t="s">
        <v>41</v>
      </c>
      <c r="AC504" s="23" t="str">
        <f t="shared" si="47"/>
        <v>E</v>
      </c>
      <c r="AD504" s="17">
        <v>0</v>
      </c>
      <c r="AE504" s="17">
        <v>0</v>
      </c>
      <c r="AF504" s="17">
        <v>3000</v>
      </c>
      <c r="AG504" s="17">
        <v>0</v>
      </c>
      <c r="AH504" s="15" t="s">
        <v>42</v>
      </c>
    </row>
    <row r="505" spans="1:34">
      <c r="A505" s="13" t="str">
        <f t="shared" si="42"/>
        <v>Normal</v>
      </c>
      <c r="B505" s="14" t="s">
        <v>451</v>
      </c>
      <c r="C505" s="15" t="s">
        <v>280</v>
      </c>
      <c r="D505" s="19">
        <f t="shared" si="43"/>
        <v>8</v>
      </c>
      <c r="E505" s="16" t="str">
        <f t="shared" si="44"/>
        <v>--</v>
      </c>
      <c r="F505" s="16">
        <f t="shared" si="45"/>
        <v>8</v>
      </c>
      <c r="G505" s="16" t="str">
        <f t="shared" si="46"/>
        <v>--</v>
      </c>
      <c r="H505" s="24" t="str">
        <f>IFERROR(VLOOKUP(B505,#REF!,8,FALSE),"")</f>
        <v/>
      </c>
      <c r="I505" s="17">
        <v>3000</v>
      </c>
      <c r="J505" s="17">
        <v>0</v>
      </c>
      <c r="K505" s="24" t="str">
        <f>IFERROR(VLOOKUP(B505,#REF!,11,FALSE),"")</f>
        <v/>
      </c>
      <c r="L505" s="17">
        <v>3000</v>
      </c>
      <c r="M505" s="6" t="s">
        <v>758</v>
      </c>
      <c r="N505" s="18" t="str">
        <f>IFERROR(VLOOKUP(B505,#REF!,13,FALSE),"")</f>
        <v/>
      </c>
      <c r="O505" s="19" t="str">
        <f>IFERROR(VLOOKUP(B505,#REF!,14,FALSE),"")</f>
        <v/>
      </c>
      <c r="P505" s="19" t="str">
        <f>IFERROR(VLOOKUP(B505,#REF!,15,FALSE),"")</f>
        <v/>
      </c>
      <c r="Q505" s="19"/>
      <c r="R505" s="25" t="str">
        <f>IFERROR(VLOOKUP(B505,#REF!,16,FALSE),"")</f>
        <v/>
      </c>
      <c r="S505" s="17">
        <v>0</v>
      </c>
      <c r="T505" s="17">
        <v>3000</v>
      </c>
      <c r="U505" s="17">
        <v>0</v>
      </c>
      <c r="V505" s="17">
        <v>0</v>
      </c>
      <c r="W505" s="20">
        <v>6000</v>
      </c>
      <c r="X505" s="16">
        <v>16</v>
      </c>
      <c r="Y505" s="21" t="s">
        <v>40</v>
      </c>
      <c r="Z505" s="20">
        <v>375</v>
      </c>
      <c r="AA505" s="17" t="s">
        <v>40</v>
      </c>
      <c r="AB505" s="22" t="s">
        <v>41</v>
      </c>
      <c r="AC505" s="23" t="str">
        <f t="shared" si="47"/>
        <v>E</v>
      </c>
      <c r="AD505" s="17">
        <v>0</v>
      </c>
      <c r="AE505" s="17">
        <v>0</v>
      </c>
      <c r="AF505" s="17">
        <v>0</v>
      </c>
      <c r="AG505" s="17">
        <v>0</v>
      </c>
      <c r="AH505" s="15" t="s">
        <v>42</v>
      </c>
    </row>
    <row r="506" spans="1:34">
      <c r="A506" s="13" t="str">
        <f t="shared" si="42"/>
        <v>Normal</v>
      </c>
      <c r="B506" s="14" t="s">
        <v>456</v>
      </c>
      <c r="C506" s="15" t="s">
        <v>280</v>
      </c>
      <c r="D506" s="19">
        <f t="shared" si="43"/>
        <v>8</v>
      </c>
      <c r="E506" s="16" t="str">
        <f t="shared" si="44"/>
        <v>--</v>
      </c>
      <c r="F506" s="16">
        <f t="shared" si="45"/>
        <v>0</v>
      </c>
      <c r="G506" s="16" t="str">
        <f t="shared" si="46"/>
        <v>--</v>
      </c>
      <c r="H506" s="24" t="str">
        <f>IFERROR(VLOOKUP(B506,#REF!,8,FALSE),"")</f>
        <v/>
      </c>
      <c r="I506" s="17">
        <v>0</v>
      </c>
      <c r="J506" s="17">
        <v>0</v>
      </c>
      <c r="K506" s="24" t="str">
        <f>IFERROR(VLOOKUP(B506,#REF!,11,FALSE),"")</f>
        <v/>
      </c>
      <c r="L506" s="17">
        <v>5000</v>
      </c>
      <c r="M506" s="6" t="s">
        <v>758</v>
      </c>
      <c r="N506" s="18" t="str">
        <f>IFERROR(VLOOKUP(B506,#REF!,13,FALSE),"")</f>
        <v/>
      </c>
      <c r="O506" s="19" t="str">
        <f>IFERROR(VLOOKUP(B506,#REF!,14,FALSE),"")</f>
        <v/>
      </c>
      <c r="P506" s="19" t="str">
        <f>IFERROR(VLOOKUP(B506,#REF!,15,FALSE),"")</f>
        <v/>
      </c>
      <c r="Q506" s="19"/>
      <c r="R506" s="25" t="str">
        <f>IFERROR(VLOOKUP(B506,#REF!,16,FALSE),"")</f>
        <v/>
      </c>
      <c r="S506" s="17">
        <v>0</v>
      </c>
      <c r="T506" s="17">
        <v>5000</v>
      </c>
      <c r="U506" s="17">
        <v>0</v>
      </c>
      <c r="V506" s="17">
        <v>0</v>
      </c>
      <c r="W506" s="20">
        <v>5000</v>
      </c>
      <c r="X506" s="16">
        <v>8</v>
      </c>
      <c r="Y506" s="21" t="s">
        <v>40</v>
      </c>
      <c r="Z506" s="20">
        <v>625</v>
      </c>
      <c r="AA506" s="17">
        <v>0</v>
      </c>
      <c r="AB506" s="22" t="s">
        <v>41</v>
      </c>
      <c r="AC506" s="23" t="str">
        <f t="shared" si="47"/>
        <v>E</v>
      </c>
      <c r="AD506" s="17">
        <v>0</v>
      </c>
      <c r="AE506" s="17">
        <v>0</v>
      </c>
      <c r="AF506" s="17">
        <v>0</v>
      </c>
      <c r="AG506" s="17">
        <v>0</v>
      </c>
      <c r="AH506" s="15" t="s">
        <v>42</v>
      </c>
    </row>
    <row r="507" spans="1:34">
      <c r="A507" s="13" t="str">
        <f t="shared" si="42"/>
        <v>OverStock</v>
      </c>
      <c r="B507" s="14" t="s">
        <v>457</v>
      </c>
      <c r="C507" s="15" t="s">
        <v>280</v>
      </c>
      <c r="D507" s="19">
        <f t="shared" si="43"/>
        <v>13.3</v>
      </c>
      <c r="E507" s="16">
        <f t="shared" si="44"/>
        <v>39.700000000000003</v>
      </c>
      <c r="F507" s="16">
        <f t="shared" si="45"/>
        <v>4.5</v>
      </c>
      <c r="G507" s="16">
        <f t="shared" si="46"/>
        <v>13.5</v>
      </c>
      <c r="H507" s="24" t="str">
        <f>IFERROR(VLOOKUP(B507,#REF!,8,FALSE),"")</f>
        <v/>
      </c>
      <c r="I507" s="17">
        <v>90000</v>
      </c>
      <c r="J507" s="17">
        <v>0</v>
      </c>
      <c r="K507" s="24" t="str">
        <f>IFERROR(VLOOKUP(B507,#REF!,11,FALSE),"")</f>
        <v/>
      </c>
      <c r="L507" s="17">
        <v>265000</v>
      </c>
      <c r="M507" s="6" t="s">
        <v>755</v>
      </c>
      <c r="N507" s="18" t="str">
        <f>IFERROR(VLOOKUP(B507,#REF!,13,FALSE),"")</f>
        <v/>
      </c>
      <c r="O507" s="19" t="str">
        <f>IFERROR(VLOOKUP(B507,#REF!,14,FALSE),"")</f>
        <v/>
      </c>
      <c r="P507" s="19" t="str">
        <f>IFERROR(VLOOKUP(B507,#REF!,15,FALSE),"")</f>
        <v/>
      </c>
      <c r="Q507" s="19"/>
      <c r="R507" s="25" t="str">
        <f>IFERROR(VLOOKUP(B507,#REF!,16,FALSE),"")</f>
        <v/>
      </c>
      <c r="S507" s="17">
        <v>0</v>
      </c>
      <c r="T507" s="17">
        <v>265000</v>
      </c>
      <c r="U507" s="17">
        <v>0</v>
      </c>
      <c r="V507" s="17">
        <v>0</v>
      </c>
      <c r="W507" s="20">
        <v>355000</v>
      </c>
      <c r="X507" s="16">
        <v>17.8</v>
      </c>
      <c r="Y507" s="21">
        <v>53.2</v>
      </c>
      <c r="Z507" s="20">
        <v>20000</v>
      </c>
      <c r="AA507" s="17">
        <v>6667</v>
      </c>
      <c r="AB507" s="22">
        <v>0.3</v>
      </c>
      <c r="AC507" s="23">
        <f t="shared" si="47"/>
        <v>50</v>
      </c>
      <c r="AD507" s="17">
        <v>10000</v>
      </c>
      <c r="AE507" s="17">
        <v>35000</v>
      </c>
      <c r="AF507" s="17">
        <v>55000</v>
      </c>
      <c r="AG507" s="17">
        <v>55000</v>
      </c>
      <c r="AH507" s="15" t="s">
        <v>42</v>
      </c>
    </row>
    <row r="508" spans="1:34">
      <c r="A508" s="13" t="str">
        <f t="shared" si="42"/>
        <v>Normal</v>
      </c>
      <c r="B508" s="14" t="s">
        <v>458</v>
      </c>
      <c r="C508" s="15" t="s">
        <v>280</v>
      </c>
      <c r="D508" s="19">
        <f t="shared" si="43"/>
        <v>7.9</v>
      </c>
      <c r="E508" s="16" t="str">
        <f t="shared" si="44"/>
        <v>--</v>
      </c>
      <c r="F508" s="16">
        <f t="shared" si="45"/>
        <v>0</v>
      </c>
      <c r="G508" s="16" t="str">
        <f t="shared" si="46"/>
        <v>--</v>
      </c>
      <c r="H508" s="24" t="str">
        <f>IFERROR(VLOOKUP(B508,#REF!,8,FALSE),"")</f>
        <v/>
      </c>
      <c r="I508" s="17">
        <v>0</v>
      </c>
      <c r="J508" s="17">
        <v>0</v>
      </c>
      <c r="K508" s="24" t="str">
        <f>IFERROR(VLOOKUP(B508,#REF!,11,FALSE),"")</f>
        <v/>
      </c>
      <c r="L508" s="17">
        <v>5950</v>
      </c>
      <c r="M508" s="6" t="s">
        <v>751</v>
      </c>
      <c r="N508" s="18" t="str">
        <f>IFERROR(VLOOKUP(B508,#REF!,13,FALSE),"")</f>
        <v/>
      </c>
      <c r="O508" s="19" t="str">
        <f>IFERROR(VLOOKUP(B508,#REF!,14,FALSE),"")</f>
        <v/>
      </c>
      <c r="P508" s="19" t="str">
        <f>IFERROR(VLOOKUP(B508,#REF!,15,FALSE),"")</f>
        <v/>
      </c>
      <c r="Q508" s="19"/>
      <c r="R508" s="25" t="str">
        <f>IFERROR(VLOOKUP(B508,#REF!,16,FALSE),"")</f>
        <v/>
      </c>
      <c r="S508" s="17">
        <v>3000</v>
      </c>
      <c r="T508" s="17">
        <v>2950</v>
      </c>
      <c r="U508" s="17">
        <v>0</v>
      </c>
      <c r="V508" s="17">
        <v>0</v>
      </c>
      <c r="W508" s="20">
        <v>5950</v>
      </c>
      <c r="X508" s="16">
        <v>7.9</v>
      </c>
      <c r="Y508" s="21" t="s">
        <v>40</v>
      </c>
      <c r="Z508" s="20">
        <v>750</v>
      </c>
      <c r="AA508" s="17">
        <v>0</v>
      </c>
      <c r="AB508" s="22" t="s">
        <v>41</v>
      </c>
      <c r="AC508" s="23" t="str">
        <f t="shared" si="47"/>
        <v>E</v>
      </c>
      <c r="AD508" s="17">
        <v>0</v>
      </c>
      <c r="AE508" s="17">
        <v>0</v>
      </c>
      <c r="AF508" s="17">
        <v>3000</v>
      </c>
      <c r="AG508" s="17">
        <v>0</v>
      </c>
      <c r="AH508" s="15" t="s">
        <v>42</v>
      </c>
    </row>
    <row r="509" spans="1:34">
      <c r="A509" s="13" t="str">
        <f t="shared" si="42"/>
        <v>None</v>
      </c>
      <c r="B509" s="14" t="s">
        <v>462</v>
      </c>
      <c r="C509" s="15" t="s">
        <v>280</v>
      </c>
      <c r="D509" s="19" t="str">
        <f t="shared" si="43"/>
        <v>前八週無拉料</v>
      </c>
      <c r="E509" s="16" t="str">
        <f t="shared" si="44"/>
        <v>--</v>
      </c>
      <c r="F509" s="16" t="str">
        <f t="shared" si="45"/>
        <v>--</v>
      </c>
      <c r="G509" s="16" t="str">
        <f t="shared" si="46"/>
        <v>--</v>
      </c>
      <c r="H509" s="24" t="str">
        <f>IFERROR(VLOOKUP(B509,#REF!,8,FALSE),"")</f>
        <v/>
      </c>
      <c r="I509" s="17">
        <v>0</v>
      </c>
      <c r="J509" s="17">
        <v>0</v>
      </c>
      <c r="K509" s="24" t="str">
        <f>IFERROR(VLOOKUP(B509,#REF!,11,FALSE),"")</f>
        <v/>
      </c>
      <c r="L509" s="17">
        <v>0</v>
      </c>
      <c r="M509" s="6" t="s">
        <v>752</v>
      </c>
      <c r="N509" s="18" t="str">
        <f>IFERROR(VLOOKUP(B509,#REF!,13,FALSE),"")</f>
        <v/>
      </c>
      <c r="O509" s="19" t="str">
        <f>IFERROR(VLOOKUP(B509,#REF!,14,FALSE),"")</f>
        <v/>
      </c>
      <c r="P509" s="19" t="str">
        <f>IFERROR(VLOOKUP(B509,#REF!,15,FALSE),"")</f>
        <v/>
      </c>
      <c r="Q509" s="19"/>
      <c r="R509" s="25" t="str">
        <f>IFERROR(VLOOKUP(B509,#REF!,16,FALSE),"")</f>
        <v/>
      </c>
      <c r="S509" s="17">
        <v>0</v>
      </c>
      <c r="T509" s="17">
        <v>0</v>
      </c>
      <c r="U509" s="17">
        <v>0</v>
      </c>
      <c r="V509" s="17">
        <v>0</v>
      </c>
      <c r="W509" s="20">
        <v>0</v>
      </c>
      <c r="X509" s="16" t="s">
        <v>40</v>
      </c>
      <c r="Y509" s="21" t="s">
        <v>40</v>
      </c>
      <c r="Z509" s="20">
        <v>0</v>
      </c>
      <c r="AA509" s="17" t="s">
        <v>40</v>
      </c>
      <c r="AB509" s="22" t="s">
        <v>41</v>
      </c>
      <c r="AC509" s="23" t="str">
        <f t="shared" si="47"/>
        <v>E</v>
      </c>
      <c r="AD509" s="17">
        <v>0</v>
      </c>
      <c r="AE509" s="17">
        <v>0</v>
      </c>
      <c r="AF509" s="17">
        <v>0</v>
      </c>
      <c r="AG509" s="17">
        <v>0</v>
      </c>
      <c r="AH509" s="15" t="s">
        <v>42</v>
      </c>
    </row>
    <row r="510" spans="1:34">
      <c r="A510" s="13" t="str">
        <f t="shared" si="42"/>
        <v>OverStock</v>
      </c>
      <c r="B510" s="14" t="s">
        <v>463</v>
      </c>
      <c r="C510" s="15" t="s">
        <v>280</v>
      </c>
      <c r="D510" s="19">
        <f t="shared" si="43"/>
        <v>0</v>
      </c>
      <c r="E510" s="16" t="str">
        <f t="shared" si="44"/>
        <v>--</v>
      </c>
      <c r="F510" s="16">
        <f t="shared" si="45"/>
        <v>21.7</v>
      </c>
      <c r="G510" s="16" t="str">
        <f t="shared" si="46"/>
        <v>--</v>
      </c>
      <c r="H510" s="24" t="str">
        <f>IFERROR(VLOOKUP(B510,#REF!,8,FALSE),"")</f>
        <v/>
      </c>
      <c r="I510" s="17">
        <v>57000</v>
      </c>
      <c r="J510" s="17">
        <v>0</v>
      </c>
      <c r="K510" s="24" t="str">
        <f>IFERROR(VLOOKUP(B510,#REF!,11,FALSE),"")</f>
        <v/>
      </c>
      <c r="L510" s="17">
        <v>0</v>
      </c>
      <c r="M510" s="6" t="s">
        <v>748</v>
      </c>
      <c r="N510" s="18" t="str">
        <f>IFERROR(VLOOKUP(B510,#REF!,13,FALSE),"")</f>
        <v/>
      </c>
      <c r="O510" s="19" t="str">
        <f>IFERROR(VLOOKUP(B510,#REF!,14,FALSE),"")</f>
        <v/>
      </c>
      <c r="P510" s="19" t="str">
        <f>IFERROR(VLOOKUP(B510,#REF!,15,FALSE),"")</f>
        <v/>
      </c>
      <c r="Q510" s="19"/>
      <c r="R510" s="25" t="str">
        <f>IFERROR(VLOOKUP(B510,#REF!,16,FALSE),"")</f>
        <v/>
      </c>
      <c r="S510" s="17">
        <v>0</v>
      </c>
      <c r="T510" s="17">
        <v>0</v>
      </c>
      <c r="U510" s="17">
        <v>0</v>
      </c>
      <c r="V510" s="17">
        <v>0</v>
      </c>
      <c r="W510" s="20">
        <v>57000</v>
      </c>
      <c r="X510" s="16">
        <v>21.7</v>
      </c>
      <c r="Y510" s="21" t="s">
        <v>40</v>
      </c>
      <c r="Z510" s="20">
        <v>2625</v>
      </c>
      <c r="AA510" s="17" t="s">
        <v>40</v>
      </c>
      <c r="AB510" s="22" t="s">
        <v>41</v>
      </c>
      <c r="AC510" s="23" t="str">
        <f t="shared" si="47"/>
        <v>E</v>
      </c>
      <c r="AD510" s="17">
        <v>0</v>
      </c>
      <c r="AE510" s="17">
        <v>0</v>
      </c>
      <c r="AF510" s="17">
        <v>0</v>
      </c>
      <c r="AG510" s="17">
        <v>0</v>
      </c>
      <c r="AH510" s="15" t="s">
        <v>42</v>
      </c>
    </row>
    <row r="511" spans="1:34">
      <c r="A511" s="13" t="str">
        <f t="shared" si="42"/>
        <v>Normal</v>
      </c>
      <c r="B511" s="14" t="s">
        <v>466</v>
      </c>
      <c r="C511" s="15" t="s">
        <v>280</v>
      </c>
      <c r="D511" s="19">
        <f t="shared" si="43"/>
        <v>0</v>
      </c>
      <c r="E511" s="16" t="str">
        <f t="shared" si="44"/>
        <v>--</v>
      </c>
      <c r="F511" s="16">
        <f t="shared" si="45"/>
        <v>5.3</v>
      </c>
      <c r="G511" s="16" t="str">
        <f t="shared" si="46"/>
        <v>--</v>
      </c>
      <c r="H511" s="24" t="str">
        <f>IFERROR(VLOOKUP(B511,#REF!,8,FALSE),"")</f>
        <v/>
      </c>
      <c r="I511" s="17">
        <v>10000</v>
      </c>
      <c r="J511" s="17">
        <v>10000</v>
      </c>
      <c r="K511" s="24" t="str">
        <f>IFERROR(VLOOKUP(B511,#REF!,11,FALSE),"")</f>
        <v/>
      </c>
      <c r="L511" s="17">
        <v>0</v>
      </c>
      <c r="M511" s="6" t="s">
        <v>748</v>
      </c>
      <c r="N511" s="18" t="str">
        <f>IFERROR(VLOOKUP(B511,#REF!,13,FALSE),"")</f>
        <v/>
      </c>
      <c r="O511" s="19" t="str">
        <f>IFERROR(VLOOKUP(B511,#REF!,14,FALSE),"")</f>
        <v/>
      </c>
      <c r="P511" s="19" t="str">
        <f>IFERROR(VLOOKUP(B511,#REF!,15,FALSE),"")</f>
        <v/>
      </c>
      <c r="Q511" s="19"/>
      <c r="R511" s="25" t="str">
        <f>IFERROR(VLOOKUP(B511,#REF!,16,FALSE),"")</f>
        <v/>
      </c>
      <c r="S511" s="17">
        <v>0</v>
      </c>
      <c r="T511" s="17">
        <v>0</v>
      </c>
      <c r="U511" s="17">
        <v>0</v>
      </c>
      <c r="V511" s="17">
        <v>0</v>
      </c>
      <c r="W511" s="20">
        <v>10000</v>
      </c>
      <c r="X511" s="16">
        <v>5.3</v>
      </c>
      <c r="Y511" s="21" t="s">
        <v>40</v>
      </c>
      <c r="Z511" s="20">
        <v>1875</v>
      </c>
      <c r="AA511" s="17" t="s">
        <v>40</v>
      </c>
      <c r="AB511" s="22" t="s">
        <v>41</v>
      </c>
      <c r="AC511" s="23" t="str">
        <f t="shared" si="47"/>
        <v>E</v>
      </c>
      <c r="AD511" s="17">
        <v>0</v>
      </c>
      <c r="AE511" s="17">
        <v>0</v>
      </c>
      <c r="AF511" s="17">
        <v>0</v>
      </c>
      <c r="AG511" s="17">
        <v>0</v>
      </c>
      <c r="AH511" s="15" t="s">
        <v>42</v>
      </c>
    </row>
    <row r="512" spans="1:34">
      <c r="A512" s="13" t="str">
        <f t="shared" si="42"/>
        <v>Normal</v>
      </c>
      <c r="B512" s="14" t="s">
        <v>467</v>
      </c>
      <c r="C512" s="15" t="s">
        <v>280</v>
      </c>
      <c r="D512" s="19">
        <f t="shared" si="43"/>
        <v>5.3</v>
      </c>
      <c r="E512" s="16">
        <f t="shared" si="44"/>
        <v>4</v>
      </c>
      <c r="F512" s="16">
        <f t="shared" si="45"/>
        <v>9.3000000000000007</v>
      </c>
      <c r="G512" s="16">
        <f t="shared" si="46"/>
        <v>7</v>
      </c>
      <c r="H512" s="24" t="str">
        <f>IFERROR(VLOOKUP(B512,#REF!,8,FALSE),"")</f>
        <v/>
      </c>
      <c r="I512" s="17">
        <v>745000</v>
      </c>
      <c r="J512" s="17">
        <v>265000</v>
      </c>
      <c r="K512" s="24" t="str">
        <f>IFERROR(VLOOKUP(B512,#REF!,11,FALSE),"")</f>
        <v/>
      </c>
      <c r="L512" s="17">
        <v>425000</v>
      </c>
      <c r="M512" s="6" t="s">
        <v>755</v>
      </c>
      <c r="N512" s="18" t="str">
        <f>IFERROR(VLOOKUP(B512,#REF!,13,FALSE),"")</f>
        <v/>
      </c>
      <c r="O512" s="19" t="str">
        <f>IFERROR(VLOOKUP(B512,#REF!,14,FALSE),"")</f>
        <v/>
      </c>
      <c r="P512" s="19" t="str">
        <f>IFERROR(VLOOKUP(B512,#REF!,15,FALSE),"")</f>
        <v/>
      </c>
      <c r="Q512" s="19"/>
      <c r="R512" s="25" t="str">
        <f>IFERROR(VLOOKUP(B512,#REF!,16,FALSE),"")</f>
        <v/>
      </c>
      <c r="S512" s="17">
        <v>0</v>
      </c>
      <c r="T512" s="17">
        <v>45000</v>
      </c>
      <c r="U512" s="17">
        <v>380000</v>
      </c>
      <c r="V512" s="17">
        <v>0</v>
      </c>
      <c r="W512" s="20">
        <v>1170000</v>
      </c>
      <c r="X512" s="16">
        <v>14.6</v>
      </c>
      <c r="Y512" s="21">
        <v>11</v>
      </c>
      <c r="Z512" s="20">
        <v>80000</v>
      </c>
      <c r="AA512" s="17">
        <v>106489</v>
      </c>
      <c r="AB512" s="22">
        <v>1.3</v>
      </c>
      <c r="AC512" s="23">
        <f t="shared" si="47"/>
        <v>100</v>
      </c>
      <c r="AD512" s="17">
        <v>152681</v>
      </c>
      <c r="AE512" s="17">
        <v>504496</v>
      </c>
      <c r="AF512" s="17">
        <v>311960</v>
      </c>
      <c r="AG512" s="17">
        <v>135800</v>
      </c>
      <c r="AH512" s="15" t="s">
        <v>42</v>
      </c>
    </row>
    <row r="513" spans="1:34">
      <c r="A513" s="13" t="str">
        <f t="shared" si="42"/>
        <v>ZeroZero</v>
      </c>
      <c r="B513" s="14" t="s">
        <v>469</v>
      </c>
      <c r="C513" s="15" t="s">
        <v>280</v>
      </c>
      <c r="D513" s="19" t="str">
        <f t="shared" si="43"/>
        <v>前八週無拉料</v>
      </c>
      <c r="E513" s="16" t="str">
        <f t="shared" si="44"/>
        <v>--</v>
      </c>
      <c r="F513" s="16" t="str">
        <f t="shared" si="45"/>
        <v>--</v>
      </c>
      <c r="G513" s="16" t="str">
        <f t="shared" si="46"/>
        <v>--</v>
      </c>
      <c r="H513" s="24" t="str">
        <f>IFERROR(VLOOKUP(B513,#REF!,8,FALSE),"")</f>
        <v/>
      </c>
      <c r="I513" s="17">
        <v>3000</v>
      </c>
      <c r="J513" s="17">
        <v>3000</v>
      </c>
      <c r="K513" s="24" t="str">
        <f>IFERROR(VLOOKUP(B513,#REF!,11,FALSE),"")</f>
        <v/>
      </c>
      <c r="L513" s="17">
        <v>0</v>
      </c>
      <c r="M513" s="6" t="s">
        <v>748</v>
      </c>
      <c r="N513" s="18" t="str">
        <f>IFERROR(VLOOKUP(B513,#REF!,13,FALSE),"")</f>
        <v/>
      </c>
      <c r="O513" s="19" t="str">
        <f>IFERROR(VLOOKUP(B513,#REF!,14,FALSE),"")</f>
        <v/>
      </c>
      <c r="P513" s="19" t="str">
        <f>IFERROR(VLOOKUP(B513,#REF!,15,FALSE),"")</f>
        <v/>
      </c>
      <c r="Q513" s="19"/>
      <c r="R513" s="25" t="str">
        <f>IFERROR(VLOOKUP(B513,#REF!,16,FALSE),"")</f>
        <v/>
      </c>
      <c r="S513" s="17">
        <v>0</v>
      </c>
      <c r="T513" s="17">
        <v>0</v>
      </c>
      <c r="U513" s="17">
        <v>0</v>
      </c>
      <c r="V513" s="17">
        <v>0</v>
      </c>
      <c r="W513" s="20">
        <v>3000</v>
      </c>
      <c r="X513" s="16" t="s">
        <v>40</v>
      </c>
      <c r="Y513" s="21" t="s">
        <v>40</v>
      </c>
      <c r="Z513" s="20">
        <v>0</v>
      </c>
      <c r="AA513" s="17">
        <v>0</v>
      </c>
      <c r="AB513" s="22" t="s">
        <v>41</v>
      </c>
      <c r="AC513" s="23" t="str">
        <f t="shared" si="47"/>
        <v>E</v>
      </c>
      <c r="AD513" s="17">
        <v>3000</v>
      </c>
      <c r="AE513" s="17">
        <v>0</v>
      </c>
      <c r="AF513" s="17">
        <v>0</v>
      </c>
      <c r="AG513" s="17">
        <v>0</v>
      </c>
      <c r="AH513" s="15" t="s">
        <v>42</v>
      </c>
    </row>
    <row r="514" spans="1:34">
      <c r="A514" s="13" t="str">
        <f t="shared" si="42"/>
        <v>OverStock</v>
      </c>
      <c r="B514" s="14" t="s">
        <v>476</v>
      </c>
      <c r="C514" s="15" t="s">
        <v>280</v>
      </c>
      <c r="D514" s="19">
        <f t="shared" si="43"/>
        <v>2</v>
      </c>
      <c r="E514" s="16" t="str">
        <f t="shared" si="44"/>
        <v>--</v>
      </c>
      <c r="F514" s="16">
        <f t="shared" si="45"/>
        <v>16</v>
      </c>
      <c r="G514" s="16" t="str">
        <f t="shared" si="46"/>
        <v>--</v>
      </c>
      <c r="H514" s="24" t="str">
        <f>IFERROR(VLOOKUP(B514,#REF!,8,FALSE),"")</f>
        <v/>
      </c>
      <c r="I514" s="17">
        <v>16000</v>
      </c>
      <c r="J514" s="17">
        <v>6000</v>
      </c>
      <c r="K514" s="24" t="str">
        <f>IFERROR(VLOOKUP(B514,#REF!,11,FALSE),"")</f>
        <v/>
      </c>
      <c r="L514" s="17">
        <v>2000</v>
      </c>
      <c r="M514" s="6" t="s">
        <v>748</v>
      </c>
      <c r="N514" s="18" t="str">
        <f>IFERROR(VLOOKUP(B514,#REF!,13,FALSE),"")</f>
        <v/>
      </c>
      <c r="O514" s="19" t="str">
        <f>IFERROR(VLOOKUP(B514,#REF!,14,FALSE),"")</f>
        <v/>
      </c>
      <c r="P514" s="19" t="str">
        <f>IFERROR(VLOOKUP(B514,#REF!,15,FALSE),"")</f>
        <v/>
      </c>
      <c r="Q514" s="19"/>
      <c r="R514" s="25" t="str">
        <f>IFERROR(VLOOKUP(B514,#REF!,16,FALSE),"")</f>
        <v/>
      </c>
      <c r="S514" s="17">
        <v>0</v>
      </c>
      <c r="T514" s="17">
        <v>2000</v>
      </c>
      <c r="U514" s="17">
        <v>0</v>
      </c>
      <c r="V514" s="17">
        <v>0</v>
      </c>
      <c r="W514" s="20">
        <v>18000</v>
      </c>
      <c r="X514" s="16">
        <v>18</v>
      </c>
      <c r="Y514" s="21" t="s">
        <v>40</v>
      </c>
      <c r="Z514" s="20">
        <v>1000</v>
      </c>
      <c r="AA514" s="17">
        <v>0</v>
      </c>
      <c r="AB514" s="22" t="s">
        <v>41</v>
      </c>
      <c r="AC514" s="23" t="str">
        <f t="shared" si="47"/>
        <v>E</v>
      </c>
      <c r="AD514" s="17">
        <v>0</v>
      </c>
      <c r="AE514" s="17">
        <v>0</v>
      </c>
      <c r="AF514" s="17">
        <v>0</v>
      </c>
      <c r="AG514" s="17">
        <v>0</v>
      </c>
      <c r="AH514" s="15" t="s">
        <v>42</v>
      </c>
    </row>
    <row r="515" spans="1:34">
      <c r="A515" s="13" t="str">
        <f t="shared" si="42"/>
        <v>None</v>
      </c>
      <c r="B515" s="14" t="s">
        <v>483</v>
      </c>
      <c r="C515" s="15" t="s">
        <v>280</v>
      </c>
      <c r="D515" s="19" t="str">
        <f t="shared" si="43"/>
        <v>前八週無拉料</v>
      </c>
      <c r="E515" s="16" t="str">
        <f t="shared" si="44"/>
        <v>--</v>
      </c>
      <c r="F515" s="16" t="str">
        <f t="shared" si="45"/>
        <v>--</v>
      </c>
      <c r="G515" s="16" t="str">
        <f t="shared" si="46"/>
        <v>--</v>
      </c>
      <c r="H515" s="24" t="str">
        <f>IFERROR(VLOOKUP(B515,#REF!,8,FALSE),"")</f>
        <v/>
      </c>
      <c r="I515" s="17">
        <v>0</v>
      </c>
      <c r="J515" s="17">
        <v>0</v>
      </c>
      <c r="K515" s="24" t="str">
        <f>IFERROR(VLOOKUP(B515,#REF!,11,FALSE),"")</f>
        <v/>
      </c>
      <c r="L515" s="17">
        <v>0</v>
      </c>
      <c r="M515" s="6" t="s">
        <v>758</v>
      </c>
      <c r="N515" s="18" t="str">
        <f>IFERROR(VLOOKUP(B515,#REF!,13,FALSE),"")</f>
        <v/>
      </c>
      <c r="O515" s="19" t="str">
        <f>IFERROR(VLOOKUP(B515,#REF!,14,FALSE),"")</f>
        <v/>
      </c>
      <c r="P515" s="19" t="str">
        <f>IFERROR(VLOOKUP(B515,#REF!,15,FALSE),"")</f>
        <v/>
      </c>
      <c r="Q515" s="19"/>
      <c r="R515" s="25" t="str">
        <f>IFERROR(VLOOKUP(B515,#REF!,16,FALSE),"")</f>
        <v/>
      </c>
      <c r="S515" s="17">
        <v>0</v>
      </c>
      <c r="T515" s="17">
        <v>0</v>
      </c>
      <c r="U515" s="17">
        <v>0</v>
      </c>
      <c r="V515" s="17">
        <v>0</v>
      </c>
      <c r="W515" s="20">
        <v>0</v>
      </c>
      <c r="X515" s="16" t="s">
        <v>40</v>
      </c>
      <c r="Y515" s="21" t="s">
        <v>40</v>
      </c>
      <c r="Z515" s="20">
        <v>0</v>
      </c>
      <c r="AA515" s="17" t="s">
        <v>40</v>
      </c>
      <c r="AB515" s="22" t="s">
        <v>41</v>
      </c>
      <c r="AC515" s="23" t="str">
        <f t="shared" si="47"/>
        <v>E</v>
      </c>
      <c r="AD515" s="17">
        <v>0</v>
      </c>
      <c r="AE515" s="17">
        <v>0</v>
      </c>
      <c r="AF515" s="17">
        <v>0</v>
      </c>
      <c r="AG515" s="17">
        <v>0</v>
      </c>
      <c r="AH515" s="15" t="s">
        <v>42</v>
      </c>
    </row>
    <row r="516" spans="1:34">
      <c r="A516" s="13" t="str">
        <f t="shared" ref="A516:A579" si="48">IF(OR(Z516=0,LEN(Z516)=0)*OR(AA516=0,LEN(AA516)=0),IF(W516&gt;0,"ZeroZero","None"),IF(IF(LEN(X516)=0,0,X516)&gt;16,"OverStock",IF(Z516=0,"FCST","Normal")))</f>
        <v>Normal</v>
      </c>
      <c r="B516" s="14" t="s">
        <v>484</v>
      </c>
      <c r="C516" s="15" t="s">
        <v>280</v>
      </c>
      <c r="D516" s="19">
        <f t="shared" ref="D516:D579" si="49">IF(Z516=0,"前八週無拉料",ROUND(L516/Z516,1))</f>
        <v>6</v>
      </c>
      <c r="E516" s="16">
        <f t="shared" ref="E516:E579" si="50">IF(OR(AA516=0,LEN(AA516)=0),"--",ROUND(L516/AA516,1))</f>
        <v>21.9</v>
      </c>
      <c r="F516" s="16">
        <f t="shared" ref="F516:F579" si="51">IF(Z516=0,"--",ROUND(I516/Z516,1))</f>
        <v>0</v>
      </c>
      <c r="G516" s="16">
        <f t="shared" ref="G516:G579" si="52">IF(OR(AA516=0,LEN(AA516)=0),"--",ROUND(I516/AA516,1))</f>
        <v>0</v>
      </c>
      <c r="H516" s="24" t="str">
        <f>IFERROR(VLOOKUP(B516,#REF!,8,FALSE),"")</f>
        <v/>
      </c>
      <c r="I516" s="17">
        <v>0</v>
      </c>
      <c r="J516" s="17">
        <v>0</v>
      </c>
      <c r="K516" s="24" t="str">
        <f>IFERROR(VLOOKUP(B516,#REF!,11,FALSE),"")</f>
        <v/>
      </c>
      <c r="L516" s="17">
        <v>9000</v>
      </c>
      <c r="M516" s="6" t="s">
        <v>762</v>
      </c>
      <c r="N516" s="18" t="str">
        <f>IFERROR(VLOOKUP(B516,#REF!,13,FALSE),"")</f>
        <v/>
      </c>
      <c r="O516" s="19" t="str">
        <f>IFERROR(VLOOKUP(B516,#REF!,14,FALSE),"")</f>
        <v/>
      </c>
      <c r="P516" s="19" t="str">
        <f>IFERROR(VLOOKUP(B516,#REF!,15,FALSE),"")</f>
        <v/>
      </c>
      <c r="Q516" s="19"/>
      <c r="R516" s="25" t="str">
        <f>IFERROR(VLOOKUP(B516,#REF!,16,FALSE),"")</f>
        <v/>
      </c>
      <c r="S516" s="17">
        <v>0</v>
      </c>
      <c r="T516" s="17">
        <v>0</v>
      </c>
      <c r="U516" s="17">
        <v>9000</v>
      </c>
      <c r="V516" s="17">
        <v>0</v>
      </c>
      <c r="W516" s="20">
        <v>9000</v>
      </c>
      <c r="X516" s="16">
        <v>6</v>
      </c>
      <c r="Y516" s="21">
        <v>21.9</v>
      </c>
      <c r="Z516" s="20">
        <v>1500</v>
      </c>
      <c r="AA516" s="17">
        <v>411</v>
      </c>
      <c r="AB516" s="22">
        <v>0.3</v>
      </c>
      <c r="AC516" s="23">
        <f t="shared" ref="AC516:AC579" si="53">IF($AB516="E","E",IF($AB516="F","F",IF($AB516&lt;0.5,50,IF($AB516&lt;2,100,150))))</f>
        <v>50</v>
      </c>
      <c r="AD516" s="17">
        <v>0</v>
      </c>
      <c r="AE516" s="17">
        <v>695</v>
      </c>
      <c r="AF516" s="17">
        <v>3000</v>
      </c>
      <c r="AG516" s="17">
        <v>5500</v>
      </c>
      <c r="AH516" s="15" t="s">
        <v>42</v>
      </c>
    </row>
    <row r="517" spans="1:34">
      <c r="A517" s="13" t="str">
        <f t="shared" si="48"/>
        <v>FCST</v>
      </c>
      <c r="B517" s="14" t="s">
        <v>486</v>
      </c>
      <c r="C517" s="15" t="s">
        <v>280</v>
      </c>
      <c r="D517" s="19" t="str">
        <f t="shared" si="49"/>
        <v>前八週無拉料</v>
      </c>
      <c r="E517" s="16">
        <f t="shared" si="50"/>
        <v>0</v>
      </c>
      <c r="F517" s="16" t="str">
        <f t="shared" si="51"/>
        <v>--</v>
      </c>
      <c r="G517" s="16">
        <f t="shared" si="52"/>
        <v>0</v>
      </c>
      <c r="H517" s="24" t="str">
        <f>IFERROR(VLOOKUP(B517,#REF!,8,FALSE),"")</f>
        <v/>
      </c>
      <c r="I517" s="17">
        <v>0</v>
      </c>
      <c r="J517" s="17">
        <v>0</v>
      </c>
      <c r="K517" s="24" t="str">
        <f>IFERROR(VLOOKUP(B517,#REF!,11,FALSE),"")</f>
        <v/>
      </c>
      <c r="L517" s="17">
        <v>0</v>
      </c>
      <c r="M517" s="6" t="s">
        <v>748</v>
      </c>
      <c r="N517" s="18" t="str">
        <f>IFERROR(VLOOKUP(B517,#REF!,13,FALSE),"")</f>
        <v/>
      </c>
      <c r="O517" s="19" t="str">
        <f>IFERROR(VLOOKUP(B517,#REF!,14,FALSE),"")</f>
        <v/>
      </c>
      <c r="P517" s="19" t="str">
        <f>IFERROR(VLOOKUP(B517,#REF!,15,FALSE),"")</f>
        <v/>
      </c>
      <c r="Q517" s="19"/>
      <c r="R517" s="25" t="str">
        <f>IFERROR(VLOOKUP(B517,#REF!,16,FALSE),"")</f>
        <v/>
      </c>
      <c r="S517" s="17">
        <v>0</v>
      </c>
      <c r="T517" s="17">
        <v>0</v>
      </c>
      <c r="U517" s="17">
        <v>0</v>
      </c>
      <c r="V517" s="17">
        <v>0</v>
      </c>
      <c r="W517" s="20">
        <v>0</v>
      </c>
      <c r="X517" s="16" t="s">
        <v>40</v>
      </c>
      <c r="Y517" s="21">
        <v>0</v>
      </c>
      <c r="Z517" s="20">
        <v>0</v>
      </c>
      <c r="AA517" s="17">
        <v>79</v>
      </c>
      <c r="AB517" s="22" t="s">
        <v>51</v>
      </c>
      <c r="AC517" s="23" t="str">
        <f t="shared" si="53"/>
        <v>F</v>
      </c>
      <c r="AD517" s="17">
        <v>0</v>
      </c>
      <c r="AE517" s="17">
        <v>714</v>
      </c>
      <c r="AF517" s="17">
        <v>0</v>
      </c>
      <c r="AG517" s="17">
        <v>0</v>
      </c>
      <c r="AH517" s="15" t="s">
        <v>42</v>
      </c>
    </row>
    <row r="518" spans="1:34">
      <c r="A518" s="13" t="str">
        <f t="shared" si="48"/>
        <v>None</v>
      </c>
      <c r="B518" s="14" t="s">
        <v>491</v>
      </c>
      <c r="C518" s="15" t="s">
        <v>280</v>
      </c>
      <c r="D518" s="19" t="str">
        <f t="shared" si="49"/>
        <v>前八週無拉料</v>
      </c>
      <c r="E518" s="16" t="str">
        <f t="shared" si="50"/>
        <v>--</v>
      </c>
      <c r="F518" s="16" t="str">
        <f t="shared" si="51"/>
        <v>--</v>
      </c>
      <c r="G518" s="16" t="str">
        <f t="shared" si="52"/>
        <v>--</v>
      </c>
      <c r="H518" s="24" t="str">
        <f>IFERROR(VLOOKUP(B518,#REF!,8,FALSE),"")</f>
        <v/>
      </c>
      <c r="I518" s="17">
        <v>0</v>
      </c>
      <c r="J518" s="17">
        <v>0</v>
      </c>
      <c r="K518" s="24" t="str">
        <f>IFERROR(VLOOKUP(B518,#REF!,11,FALSE),"")</f>
        <v/>
      </c>
      <c r="L518" s="17">
        <v>0</v>
      </c>
      <c r="M518" s="6" t="s">
        <v>751</v>
      </c>
      <c r="N518" s="18" t="str">
        <f>IFERROR(VLOOKUP(B518,#REF!,13,FALSE),"")</f>
        <v/>
      </c>
      <c r="O518" s="19" t="str">
        <f>IFERROR(VLOOKUP(B518,#REF!,14,FALSE),"")</f>
        <v/>
      </c>
      <c r="P518" s="19" t="str">
        <f>IFERROR(VLOOKUP(B518,#REF!,15,FALSE),"")</f>
        <v/>
      </c>
      <c r="Q518" s="19"/>
      <c r="R518" s="25" t="str">
        <f>IFERROR(VLOOKUP(B518,#REF!,16,FALSE),"")</f>
        <v/>
      </c>
      <c r="S518" s="17">
        <v>0</v>
      </c>
      <c r="T518" s="17">
        <v>0</v>
      </c>
      <c r="U518" s="17">
        <v>0</v>
      </c>
      <c r="V518" s="17">
        <v>0</v>
      </c>
      <c r="W518" s="20">
        <v>0</v>
      </c>
      <c r="X518" s="16" t="s">
        <v>40</v>
      </c>
      <c r="Y518" s="21" t="s">
        <v>40</v>
      </c>
      <c r="Z518" s="20">
        <v>0</v>
      </c>
      <c r="AA518" s="17" t="s">
        <v>40</v>
      </c>
      <c r="AB518" s="22" t="s">
        <v>41</v>
      </c>
      <c r="AC518" s="23" t="str">
        <f t="shared" si="53"/>
        <v>E</v>
      </c>
      <c r="AD518" s="17">
        <v>0</v>
      </c>
      <c r="AE518" s="17">
        <v>0</v>
      </c>
      <c r="AF518" s="17">
        <v>0</v>
      </c>
      <c r="AG518" s="17">
        <v>0</v>
      </c>
      <c r="AH518" s="15" t="s">
        <v>42</v>
      </c>
    </row>
    <row r="519" spans="1:34">
      <c r="A519" s="13" t="str">
        <f t="shared" si="48"/>
        <v>Normal</v>
      </c>
      <c r="B519" s="14" t="s">
        <v>493</v>
      </c>
      <c r="C519" s="15" t="s">
        <v>280</v>
      </c>
      <c r="D519" s="19">
        <f t="shared" si="49"/>
        <v>5.0999999999999996</v>
      </c>
      <c r="E519" s="16">
        <f t="shared" si="50"/>
        <v>3.3</v>
      </c>
      <c r="F519" s="16">
        <f t="shared" si="51"/>
        <v>0</v>
      </c>
      <c r="G519" s="16">
        <f t="shared" si="52"/>
        <v>0</v>
      </c>
      <c r="H519" s="24" t="str">
        <f>IFERROR(VLOOKUP(B519,#REF!,8,FALSE),"")</f>
        <v/>
      </c>
      <c r="I519" s="17">
        <v>0</v>
      </c>
      <c r="J519" s="17">
        <v>0</v>
      </c>
      <c r="K519" s="24" t="str">
        <f>IFERROR(VLOOKUP(B519,#REF!,11,FALSE),"")</f>
        <v/>
      </c>
      <c r="L519" s="17">
        <v>21000</v>
      </c>
      <c r="M519" s="6" t="s">
        <v>748</v>
      </c>
      <c r="N519" s="18" t="str">
        <f>IFERROR(VLOOKUP(B519,#REF!,13,FALSE),"")</f>
        <v/>
      </c>
      <c r="O519" s="19" t="str">
        <f>IFERROR(VLOOKUP(B519,#REF!,14,FALSE),"")</f>
        <v/>
      </c>
      <c r="P519" s="19" t="str">
        <f>IFERROR(VLOOKUP(B519,#REF!,15,FALSE),"")</f>
        <v/>
      </c>
      <c r="Q519" s="19"/>
      <c r="R519" s="25" t="str">
        <f>IFERROR(VLOOKUP(B519,#REF!,16,FALSE),"")</f>
        <v/>
      </c>
      <c r="S519" s="17">
        <v>0</v>
      </c>
      <c r="T519" s="17">
        <v>0</v>
      </c>
      <c r="U519" s="17">
        <v>21000</v>
      </c>
      <c r="V519" s="17">
        <v>0</v>
      </c>
      <c r="W519" s="20">
        <v>21000</v>
      </c>
      <c r="X519" s="16">
        <v>5.0999999999999996</v>
      </c>
      <c r="Y519" s="21">
        <v>3.3</v>
      </c>
      <c r="Z519" s="20">
        <v>4125</v>
      </c>
      <c r="AA519" s="17">
        <v>6369</v>
      </c>
      <c r="AB519" s="22">
        <v>1.5</v>
      </c>
      <c r="AC519" s="23">
        <f t="shared" si="53"/>
        <v>100</v>
      </c>
      <c r="AD519" s="17">
        <v>8418</v>
      </c>
      <c r="AE519" s="17">
        <v>39689</v>
      </c>
      <c r="AF519" s="17">
        <v>12591</v>
      </c>
      <c r="AG519" s="17">
        <v>16005</v>
      </c>
      <c r="AH519" s="15" t="s">
        <v>42</v>
      </c>
    </row>
    <row r="520" spans="1:34">
      <c r="A520" s="13" t="str">
        <f t="shared" si="48"/>
        <v>OverStock</v>
      </c>
      <c r="B520" s="14" t="s">
        <v>494</v>
      </c>
      <c r="C520" s="15" t="s">
        <v>280</v>
      </c>
      <c r="D520" s="19">
        <f t="shared" si="49"/>
        <v>16</v>
      </c>
      <c r="E520" s="16">
        <f t="shared" si="50"/>
        <v>0.7</v>
      </c>
      <c r="F520" s="16">
        <f t="shared" si="51"/>
        <v>1176</v>
      </c>
      <c r="G520" s="16">
        <f t="shared" si="52"/>
        <v>51</v>
      </c>
      <c r="H520" s="24" t="str">
        <f>IFERROR(VLOOKUP(B520,#REF!,8,FALSE),"")</f>
        <v/>
      </c>
      <c r="I520" s="17">
        <v>882000</v>
      </c>
      <c r="J520" s="17">
        <v>351000</v>
      </c>
      <c r="K520" s="24" t="str">
        <f>IFERROR(VLOOKUP(B520,#REF!,11,FALSE),"")</f>
        <v/>
      </c>
      <c r="L520" s="17">
        <v>12000</v>
      </c>
      <c r="M520" s="6" t="s">
        <v>748</v>
      </c>
      <c r="N520" s="18" t="str">
        <f>IFERROR(VLOOKUP(B520,#REF!,13,FALSE),"")</f>
        <v/>
      </c>
      <c r="O520" s="19" t="str">
        <f>IFERROR(VLOOKUP(B520,#REF!,14,FALSE),"")</f>
        <v/>
      </c>
      <c r="P520" s="19" t="str">
        <f>IFERROR(VLOOKUP(B520,#REF!,15,FALSE),"")</f>
        <v/>
      </c>
      <c r="Q520" s="19"/>
      <c r="R520" s="25" t="str">
        <f>IFERROR(VLOOKUP(B520,#REF!,16,FALSE),"")</f>
        <v/>
      </c>
      <c r="S520" s="17">
        <v>0</v>
      </c>
      <c r="T520" s="17">
        <v>0</v>
      </c>
      <c r="U520" s="17">
        <v>12000</v>
      </c>
      <c r="V520" s="17">
        <v>0</v>
      </c>
      <c r="W520" s="20">
        <v>894000</v>
      </c>
      <c r="X520" s="16">
        <v>1192</v>
      </c>
      <c r="Y520" s="21">
        <v>51.7</v>
      </c>
      <c r="Z520" s="20">
        <v>750</v>
      </c>
      <c r="AA520" s="17">
        <v>17294</v>
      </c>
      <c r="AB520" s="22">
        <v>23.1</v>
      </c>
      <c r="AC520" s="23">
        <f t="shared" si="53"/>
        <v>150</v>
      </c>
      <c r="AD520" s="17">
        <v>0</v>
      </c>
      <c r="AE520" s="17">
        <v>74644</v>
      </c>
      <c r="AF520" s="17">
        <v>81000</v>
      </c>
      <c r="AG520" s="17">
        <v>99750</v>
      </c>
      <c r="AH520" s="15" t="s">
        <v>42</v>
      </c>
    </row>
    <row r="521" spans="1:34">
      <c r="A521" s="13" t="str">
        <f t="shared" si="48"/>
        <v>OverStock</v>
      </c>
      <c r="B521" s="14" t="s">
        <v>501</v>
      </c>
      <c r="C521" s="15" t="s">
        <v>280</v>
      </c>
      <c r="D521" s="19">
        <f t="shared" si="49"/>
        <v>1</v>
      </c>
      <c r="E521" s="16">
        <f t="shared" si="50"/>
        <v>1.2</v>
      </c>
      <c r="F521" s="16">
        <f t="shared" si="51"/>
        <v>23.4</v>
      </c>
      <c r="G521" s="16">
        <f t="shared" si="52"/>
        <v>26.3</v>
      </c>
      <c r="H521" s="24" t="str">
        <f>IFERROR(VLOOKUP(B521,#REF!,8,FALSE),"")</f>
        <v/>
      </c>
      <c r="I521" s="17">
        <v>7602000</v>
      </c>
      <c r="J521" s="17">
        <v>4974000</v>
      </c>
      <c r="K521" s="24" t="str">
        <f>IFERROR(VLOOKUP(B521,#REF!,11,FALSE),"")</f>
        <v/>
      </c>
      <c r="L521" s="17">
        <v>336000</v>
      </c>
      <c r="M521" s="6" t="s">
        <v>758</v>
      </c>
      <c r="N521" s="18" t="str">
        <f>IFERROR(VLOOKUP(B521,#REF!,13,FALSE),"")</f>
        <v/>
      </c>
      <c r="O521" s="19" t="str">
        <f>IFERROR(VLOOKUP(B521,#REF!,14,FALSE),"")</f>
        <v/>
      </c>
      <c r="P521" s="19" t="str">
        <f>IFERROR(VLOOKUP(B521,#REF!,15,FALSE),"")</f>
        <v/>
      </c>
      <c r="Q521" s="19"/>
      <c r="R521" s="25" t="str">
        <f>IFERROR(VLOOKUP(B521,#REF!,16,FALSE),"")</f>
        <v/>
      </c>
      <c r="S521" s="17">
        <v>0</v>
      </c>
      <c r="T521" s="17">
        <v>336000</v>
      </c>
      <c r="U521" s="17">
        <v>0</v>
      </c>
      <c r="V521" s="17">
        <v>0</v>
      </c>
      <c r="W521" s="20">
        <v>7938000</v>
      </c>
      <c r="X521" s="16">
        <v>24.4</v>
      </c>
      <c r="Y521" s="21">
        <v>27.5</v>
      </c>
      <c r="Z521" s="20">
        <v>325125</v>
      </c>
      <c r="AA521" s="17">
        <v>289000</v>
      </c>
      <c r="AB521" s="22">
        <v>0.9</v>
      </c>
      <c r="AC521" s="23">
        <f t="shared" si="53"/>
        <v>100</v>
      </c>
      <c r="AD521" s="17">
        <v>456000</v>
      </c>
      <c r="AE521" s="17">
        <v>1191000</v>
      </c>
      <c r="AF521" s="17">
        <v>954000</v>
      </c>
      <c r="AG521" s="17">
        <v>1101000</v>
      </c>
      <c r="AH521" s="15" t="s">
        <v>42</v>
      </c>
    </row>
    <row r="522" spans="1:34">
      <c r="A522" s="13" t="str">
        <f t="shared" si="48"/>
        <v>FCST</v>
      </c>
      <c r="B522" s="14" t="s">
        <v>502</v>
      </c>
      <c r="C522" s="15" t="s">
        <v>280</v>
      </c>
      <c r="D522" s="19" t="str">
        <f t="shared" si="49"/>
        <v>前八週無拉料</v>
      </c>
      <c r="E522" s="16">
        <f t="shared" si="50"/>
        <v>0</v>
      </c>
      <c r="F522" s="16" t="str">
        <f t="shared" si="51"/>
        <v>--</v>
      </c>
      <c r="G522" s="16">
        <f t="shared" si="52"/>
        <v>0</v>
      </c>
      <c r="H522" s="24" t="str">
        <f>IFERROR(VLOOKUP(B522,#REF!,8,FALSE),"")</f>
        <v/>
      </c>
      <c r="I522" s="17">
        <v>0</v>
      </c>
      <c r="J522" s="17">
        <v>0</v>
      </c>
      <c r="K522" s="24" t="str">
        <f>IFERROR(VLOOKUP(B522,#REF!,11,FALSE),"")</f>
        <v/>
      </c>
      <c r="L522" s="17">
        <v>0</v>
      </c>
      <c r="M522" s="6" t="s">
        <v>758</v>
      </c>
      <c r="N522" s="18" t="str">
        <f>IFERROR(VLOOKUP(B522,#REF!,13,FALSE),"")</f>
        <v/>
      </c>
      <c r="O522" s="19" t="str">
        <f>IFERROR(VLOOKUP(B522,#REF!,14,FALSE),"")</f>
        <v/>
      </c>
      <c r="P522" s="19" t="str">
        <f>IFERROR(VLOOKUP(B522,#REF!,15,FALSE),"")</f>
        <v/>
      </c>
      <c r="Q522" s="19"/>
      <c r="R522" s="25" t="str">
        <f>IFERROR(VLOOKUP(B522,#REF!,16,FALSE),"")</f>
        <v/>
      </c>
      <c r="S522" s="17">
        <v>0</v>
      </c>
      <c r="T522" s="17">
        <v>0</v>
      </c>
      <c r="U522" s="17">
        <v>0</v>
      </c>
      <c r="V522" s="17">
        <v>0</v>
      </c>
      <c r="W522" s="20">
        <v>0</v>
      </c>
      <c r="X522" s="16" t="s">
        <v>40</v>
      </c>
      <c r="Y522" s="21">
        <v>0</v>
      </c>
      <c r="Z522" s="20">
        <v>0</v>
      </c>
      <c r="AA522" s="17">
        <v>22333</v>
      </c>
      <c r="AB522" s="22" t="s">
        <v>51</v>
      </c>
      <c r="AC522" s="23" t="str">
        <f t="shared" si="53"/>
        <v>F</v>
      </c>
      <c r="AD522" s="17">
        <v>18000</v>
      </c>
      <c r="AE522" s="17">
        <v>93000</v>
      </c>
      <c r="AF522" s="17">
        <v>90000</v>
      </c>
      <c r="AG522" s="17">
        <v>0</v>
      </c>
      <c r="AH522" s="15" t="s">
        <v>42</v>
      </c>
    </row>
    <row r="523" spans="1:34">
      <c r="A523" s="13" t="str">
        <f t="shared" si="48"/>
        <v>OverStock</v>
      </c>
      <c r="B523" s="14" t="s">
        <v>503</v>
      </c>
      <c r="C523" s="15" t="s">
        <v>280</v>
      </c>
      <c r="D523" s="19">
        <f t="shared" si="49"/>
        <v>42.1</v>
      </c>
      <c r="E523" s="16">
        <f t="shared" si="50"/>
        <v>23.7</v>
      </c>
      <c r="F523" s="16">
        <f t="shared" si="51"/>
        <v>0</v>
      </c>
      <c r="G523" s="16">
        <f t="shared" si="52"/>
        <v>0</v>
      </c>
      <c r="H523" s="24" t="str">
        <f>IFERROR(VLOOKUP(B523,#REF!,8,FALSE),"")</f>
        <v/>
      </c>
      <c r="I523" s="17">
        <v>0</v>
      </c>
      <c r="J523" s="17">
        <v>0</v>
      </c>
      <c r="K523" s="24" t="str">
        <f>IFERROR(VLOOKUP(B523,#REF!,11,FALSE),"")</f>
        <v/>
      </c>
      <c r="L523" s="17">
        <v>79000</v>
      </c>
      <c r="M523" s="6" t="s">
        <v>751</v>
      </c>
      <c r="N523" s="18" t="str">
        <f>IFERROR(VLOOKUP(B523,#REF!,13,FALSE),"")</f>
        <v/>
      </c>
      <c r="O523" s="19" t="str">
        <f>IFERROR(VLOOKUP(B523,#REF!,14,FALSE),"")</f>
        <v/>
      </c>
      <c r="P523" s="19" t="str">
        <f>IFERROR(VLOOKUP(B523,#REF!,15,FALSE),"")</f>
        <v/>
      </c>
      <c r="Q523" s="19"/>
      <c r="R523" s="25" t="str">
        <f>IFERROR(VLOOKUP(B523,#REF!,16,FALSE),"")</f>
        <v/>
      </c>
      <c r="S523" s="17">
        <v>0</v>
      </c>
      <c r="T523" s="17">
        <v>79000</v>
      </c>
      <c r="U523" s="17">
        <v>0</v>
      </c>
      <c r="V523" s="17">
        <v>0</v>
      </c>
      <c r="W523" s="20">
        <v>79000</v>
      </c>
      <c r="X523" s="16">
        <v>42.1</v>
      </c>
      <c r="Y523" s="21">
        <v>23.7</v>
      </c>
      <c r="Z523" s="20">
        <v>1875</v>
      </c>
      <c r="AA523" s="17">
        <v>3333</v>
      </c>
      <c r="AB523" s="22">
        <v>1.8</v>
      </c>
      <c r="AC523" s="23">
        <f t="shared" si="53"/>
        <v>100</v>
      </c>
      <c r="AD523" s="17">
        <v>9000</v>
      </c>
      <c r="AE523" s="17">
        <v>9000</v>
      </c>
      <c r="AF523" s="17">
        <v>12000</v>
      </c>
      <c r="AG523" s="17">
        <v>0</v>
      </c>
      <c r="AH523" s="15" t="s">
        <v>42</v>
      </c>
    </row>
    <row r="524" spans="1:34">
      <c r="A524" s="13" t="str">
        <f t="shared" si="48"/>
        <v>Normal</v>
      </c>
      <c r="B524" s="14" t="s">
        <v>504</v>
      </c>
      <c r="C524" s="15" t="s">
        <v>280</v>
      </c>
      <c r="D524" s="19">
        <f t="shared" si="49"/>
        <v>14.1</v>
      </c>
      <c r="E524" s="16" t="str">
        <f t="shared" si="50"/>
        <v>--</v>
      </c>
      <c r="F524" s="16">
        <f t="shared" si="51"/>
        <v>0</v>
      </c>
      <c r="G524" s="16" t="str">
        <f t="shared" si="52"/>
        <v>--</v>
      </c>
      <c r="H524" s="24" t="str">
        <f>IFERROR(VLOOKUP(B524,#REF!,8,FALSE),"")</f>
        <v/>
      </c>
      <c r="I524" s="17">
        <v>0</v>
      </c>
      <c r="J524" s="17">
        <v>0</v>
      </c>
      <c r="K524" s="24" t="str">
        <f>IFERROR(VLOOKUP(B524,#REF!,11,FALSE),"")</f>
        <v/>
      </c>
      <c r="L524" s="17">
        <v>61500</v>
      </c>
      <c r="M524" s="6" t="s">
        <v>764</v>
      </c>
      <c r="N524" s="18" t="str">
        <f>IFERROR(VLOOKUP(B524,#REF!,13,FALSE),"")</f>
        <v/>
      </c>
      <c r="O524" s="19" t="str">
        <f>IFERROR(VLOOKUP(B524,#REF!,14,FALSE),"")</f>
        <v/>
      </c>
      <c r="P524" s="19" t="str">
        <f>IFERROR(VLOOKUP(B524,#REF!,15,FALSE),"")</f>
        <v/>
      </c>
      <c r="Q524" s="19"/>
      <c r="R524" s="25" t="str">
        <f>IFERROR(VLOOKUP(B524,#REF!,16,FALSE),"")</f>
        <v/>
      </c>
      <c r="S524" s="17">
        <v>0</v>
      </c>
      <c r="T524" s="17">
        <v>1500</v>
      </c>
      <c r="U524" s="17">
        <v>60000</v>
      </c>
      <c r="V524" s="17">
        <v>0</v>
      </c>
      <c r="W524" s="20">
        <v>61500</v>
      </c>
      <c r="X524" s="16">
        <v>14.1</v>
      </c>
      <c r="Y524" s="21" t="s">
        <v>40</v>
      </c>
      <c r="Z524" s="20">
        <v>4375</v>
      </c>
      <c r="AA524" s="17" t="s">
        <v>40</v>
      </c>
      <c r="AB524" s="22" t="s">
        <v>41</v>
      </c>
      <c r="AC524" s="23" t="str">
        <f t="shared" si="53"/>
        <v>E</v>
      </c>
      <c r="AD524" s="17">
        <v>0</v>
      </c>
      <c r="AE524" s="17">
        <v>0</v>
      </c>
      <c r="AF524" s="17">
        <v>0</v>
      </c>
      <c r="AG524" s="17">
        <v>0</v>
      </c>
      <c r="AH524" s="15" t="s">
        <v>42</v>
      </c>
    </row>
    <row r="525" spans="1:34">
      <c r="A525" s="13" t="str">
        <f t="shared" si="48"/>
        <v>OverStock</v>
      </c>
      <c r="B525" s="14" t="s">
        <v>505</v>
      </c>
      <c r="C525" s="15" t="s">
        <v>280</v>
      </c>
      <c r="D525" s="19">
        <f t="shared" si="49"/>
        <v>24.2</v>
      </c>
      <c r="E525" s="16" t="str">
        <f t="shared" si="50"/>
        <v>--</v>
      </c>
      <c r="F525" s="16">
        <f t="shared" si="51"/>
        <v>5.8</v>
      </c>
      <c r="G525" s="16" t="str">
        <f t="shared" si="52"/>
        <v>--</v>
      </c>
      <c r="H525" s="24" t="str">
        <f>IFERROR(VLOOKUP(B525,#REF!,8,FALSE),"")</f>
        <v/>
      </c>
      <c r="I525" s="17">
        <v>2445000</v>
      </c>
      <c r="J525" s="17">
        <v>0</v>
      </c>
      <c r="K525" s="24" t="str">
        <f>IFERROR(VLOOKUP(B525,#REF!,11,FALSE),"")</f>
        <v/>
      </c>
      <c r="L525" s="17">
        <v>10135000</v>
      </c>
      <c r="M525" s="6" t="s">
        <v>758</v>
      </c>
      <c r="N525" s="18" t="str">
        <f>IFERROR(VLOOKUP(B525,#REF!,13,FALSE),"")</f>
        <v/>
      </c>
      <c r="O525" s="19" t="str">
        <f>IFERROR(VLOOKUP(B525,#REF!,14,FALSE),"")</f>
        <v/>
      </c>
      <c r="P525" s="19" t="str">
        <f>IFERROR(VLOOKUP(B525,#REF!,15,FALSE),"")</f>
        <v/>
      </c>
      <c r="Q525" s="19"/>
      <c r="R525" s="25" t="str">
        <f>IFERROR(VLOOKUP(B525,#REF!,16,FALSE),"")</f>
        <v/>
      </c>
      <c r="S525" s="17">
        <v>0</v>
      </c>
      <c r="T525" s="17">
        <v>7183000</v>
      </c>
      <c r="U525" s="17">
        <v>2952000</v>
      </c>
      <c r="V525" s="17">
        <v>0</v>
      </c>
      <c r="W525" s="20">
        <v>12580000</v>
      </c>
      <c r="X525" s="16">
        <v>30</v>
      </c>
      <c r="Y525" s="21" t="s">
        <v>40</v>
      </c>
      <c r="Z525" s="20">
        <v>419625</v>
      </c>
      <c r="AA525" s="17" t="s">
        <v>40</v>
      </c>
      <c r="AB525" s="22" t="s">
        <v>41</v>
      </c>
      <c r="AC525" s="23" t="str">
        <f t="shared" si="53"/>
        <v>E</v>
      </c>
      <c r="AD525" s="17">
        <v>0</v>
      </c>
      <c r="AE525" s="17">
        <v>0</v>
      </c>
      <c r="AF525" s="17">
        <v>0</v>
      </c>
      <c r="AG525" s="17">
        <v>0</v>
      </c>
      <c r="AH525" s="15" t="s">
        <v>42</v>
      </c>
    </row>
    <row r="526" spans="1:34">
      <c r="A526" s="13" t="str">
        <f t="shared" si="48"/>
        <v>OverStock</v>
      </c>
      <c r="B526" s="14" t="s">
        <v>506</v>
      </c>
      <c r="C526" s="15" t="s">
        <v>280</v>
      </c>
      <c r="D526" s="19">
        <f t="shared" si="49"/>
        <v>29.7</v>
      </c>
      <c r="E526" s="16">
        <f t="shared" si="50"/>
        <v>33.4</v>
      </c>
      <c r="F526" s="16">
        <f t="shared" si="51"/>
        <v>0</v>
      </c>
      <c r="G526" s="16">
        <f t="shared" si="52"/>
        <v>0</v>
      </c>
      <c r="H526" s="24" t="str">
        <f>IFERROR(VLOOKUP(B526,#REF!,8,FALSE),"")</f>
        <v/>
      </c>
      <c r="I526" s="17">
        <v>0</v>
      </c>
      <c r="J526" s="17">
        <v>0</v>
      </c>
      <c r="K526" s="24" t="str">
        <f>IFERROR(VLOOKUP(B526,#REF!,11,FALSE),"")</f>
        <v/>
      </c>
      <c r="L526" s="17">
        <v>111400</v>
      </c>
      <c r="M526" s="6" t="s">
        <v>758</v>
      </c>
      <c r="N526" s="18" t="str">
        <f>IFERROR(VLOOKUP(B526,#REF!,13,FALSE),"")</f>
        <v/>
      </c>
      <c r="O526" s="19" t="str">
        <f>IFERROR(VLOOKUP(B526,#REF!,14,FALSE),"")</f>
        <v/>
      </c>
      <c r="P526" s="19" t="str">
        <f>IFERROR(VLOOKUP(B526,#REF!,15,FALSE),"")</f>
        <v/>
      </c>
      <c r="Q526" s="19"/>
      <c r="R526" s="25" t="str">
        <f>IFERROR(VLOOKUP(B526,#REF!,16,FALSE),"")</f>
        <v/>
      </c>
      <c r="S526" s="17">
        <v>0</v>
      </c>
      <c r="T526" s="17">
        <v>111400</v>
      </c>
      <c r="U526" s="17">
        <v>0</v>
      </c>
      <c r="V526" s="17">
        <v>0</v>
      </c>
      <c r="W526" s="20">
        <v>111400</v>
      </c>
      <c r="X526" s="16">
        <v>29.7</v>
      </c>
      <c r="Y526" s="21">
        <v>33.4</v>
      </c>
      <c r="Z526" s="20">
        <v>3750</v>
      </c>
      <c r="AA526" s="17">
        <v>3333</v>
      </c>
      <c r="AB526" s="22">
        <v>0.9</v>
      </c>
      <c r="AC526" s="23">
        <f t="shared" si="53"/>
        <v>100</v>
      </c>
      <c r="AD526" s="17">
        <v>0</v>
      </c>
      <c r="AE526" s="17">
        <v>20000</v>
      </c>
      <c r="AF526" s="17">
        <v>20000</v>
      </c>
      <c r="AG526" s="17">
        <v>0</v>
      </c>
      <c r="AH526" s="15" t="s">
        <v>42</v>
      </c>
    </row>
    <row r="527" spans="1:34">
      <c r="A527" s="13" t="str">
        <f t="shared" si="48"/>
        <v>OverStock</v>
      </c>
      <c r="B527" s="14" t="s">
        <v>509</v>
      </c>
      <c r="C527" s="15" t="s">
        <v>280</v>
      </c>
      <c r="D527" s="19">
        <f t="shared" si="49"/>
        <v>3.4</v>
      </c>
      <c r="E527" s="16">
        <f t="shared" si="50"/>
        <v>4.7</v>
      </c>
      <c r="F527" s="16">
        <f t="shared" si="51"/>
        <v>24</v>
      </c>
      <c r="G527" s="16">
        <f t="shared" si="52"/>
        <v>32.9</v>
      </c>
      <c r="H527" s="24" t="str">
        <f>IFERROR(VLOOKUP(B527,#REF!,8,FALSE),"")</f>
        <v/>
      </c>
      <c r="I527" s="17">
        <v>1410000</v>
      </c>
      <c r="J527" s="17">
        <v>750000</v>
      </c>
      <c r="K527" s="24" t="str">
        <f>IFERROR(VLOOKUP(B527,#REF!,11,FALSE),"")</f>
        <v/>
      </c>
      <c r="L527" s="17">
        <v>200000</v>
      </c>
      <c r="M527" s="6" t="s">
        <v>752</v>
      </c>
      <c r="N527" s="18" t="str">
        <f>IFERROR(VLOOKUP(B527,#REF!,13,FALSE),"")</f>
        <v/>
      </c>
      <c r="O527" s="19" t="str">
        <f>IFERROR(VLOOKUP(B527,#REF!,14,FALSE),"")</f>
        <v/>
      </c>
      <c r="P527" s="19" t="str">
        <f>IFERROR(VLOOKUP(B527,#REF!,15,FALSE),"")</f>
        <v/>
      </c>
      <c r="Q527" s="19"/>
      <c r="R527" s="25" t="str">
        <f>IFERROR(VLOOKUP(B527,#REF!,16,FALSE),"")</f>
        <v/>
      </c>
      <c r="S527" s="17">
        <v>0</v>
      </c>
      <c r="T527" s="17">
        <v>200000</v>
      </c>
      <c r="U527" s="17">
        <v>0</v>
      </c>
      <c r="V527" s="17">
        <v>0</v>
      </c>
      <c r="W527" s="20">
        <v>1610000</v>
      </c>
      <c r="X527" s="16">
        <v>27.4</v>
      </c>
      <c r="Y527" s="21">
        <v>37.6</v>
      </c>
      <c r="Z527" s="20">
        <v>58750</v>
      </c>
      <c r="AA527" s="17">
        <v>42807</v>
      </c>
      <c r="AB527" s="22">
        <v>0.7</v>
      </c>
      <c r="AC527" s="23">
        <f t="shared" si="53"/>
        <v>100</v>
      </c>
      <c r="AD527" s="17">
        <v>0</v>
      </c>
      <c r="AE527" s="17">
        <v>0</v>
      </c>
      <c r="AF527" s="17">
        <v>528885</v>
      </c>
      <c r="AG527" s="17">
        <v>574468</v>
      </c>
      <c r="AH527" s="15" t="s">
        <v>42</v>
      </c>
    </row>
    <row r="528" spans="1:34">
      <c r="A528" s="13" t="str">
        <f t="shared" si="48"/>
        <v>None</v>
      </c>
      <c r="B528" s="14" t="s">
        <v>510</v>
      </c>
      <c r="C528" s="15" t="s">
        <v>280</v>
      </c>
      <c r="D528" s="19" t="str">
        <f t="shared" si="49"/>
        <v>前八週無拉料</v>
      </c>
      <c r="E528" s="16" t="str">
        <f t="shared" si="50"/>
        <v>--</v>
      </c>
      <c r="F528" s="16" t="str">
        <f t="shared" si="51"/>
        <v>--</v>
      </c>
      <c r="G528" s="16" t="str">
        <f t="shared" si="52"/>
        <v>--</v>
      </c>
      <c r="H528" s="24" t="str">
        <f>IFERROR(VLOOKUP(B528,#REF!,8,FALSE),"")</f>
        <v/>
      </c>
      <c r="I528" s="17">
        <v>0</v>
      </c>
      <c r="J528" s="17">
        <v>0</v>
      </c>
      <c r="K528" s="24" t="str">
        <f>IFERROR(VLOOKUP(B528,#REF!,11,FALSE),"")</f>
        <v/>
      </c>
      <c r="L528" s="17">
        <v>0</v>
      </c>
      <c r="M528" s="6" t="s">
        <v>761</v>
      </c>
      <c r="N528" s="18" t="str">
        <f>IFERROR(VLOOKUP(B528,#REF!,13,FALSE),"")</f>
        <v/>
      </c>
      <c r="O528" s="19" t="str">
        <f>IFERROR(VLOOKUP(B528,#REF!,14,FALSE),"")</f>
        <v/>
      </c>
      <c r="P528" s="19" t="str">
        <f>IFERROR(VLOOKUP(B528,#REF!,15,FALSE),"")</f>
        <v/>
      </c>
      <c r="Q528" s="19"/>
      <c r="R528" s="25" t="str">
        <f>IFERROR(VLOOKUP(B528,#REF!,16,FALSE),"")</f>
        <v/>
      </c>
      <c r="S528" s="17">
        <v>0</v>
      </c>
      <c r="T528" s="17">
        <v>0</v>
      </c>
      <c r="U528" s="17">
        <v>0</v>
      </c>
      <c r="V528" s="17">
        <v>0</v>
      </c>
      <c r="W528" s="20">
        <v>0</v>
      </c>
      <c r="X528" s="16" t="s">
        <v>40</v>
      </c>
      <c r="Y528" s="21" t="s">
        <v>40</v>
      </c>
      <c r="Z528" s="20">
        <v>0</v>
      </c>
      <c r="AA528" s="17" t="s">
        <v>40</v>
      </c>
      <c r="AB528" s="22" t="s">
        <v>41</v>
      </c>
      <c r="AC528" s="23" t="str">
        <f t="shared" si="53"/>
        <v>E</v>
      </c>
      <c r="AD528" s="17">
        <v>0</v>
      </c>
      <c r="AE528" s="17">
        <v>0</v>
      </c>
      <c r="AF528" s="17">
        <v>0</v>
      </c>
      <c r="AG528" s="17">
        <v>0</v>
      </c>
      <c r="AH528" s="15" t="s">
        <v>42</v>
      </c>
    </row>
    <row r="529" spans="1:34">
      <c r="A529" s="13" t="str">
        <f t="shared" si="48"/>
        <v>OverStock</v>
      </c>
      <c r="B529" s="14" t="s">
        <v>512</v>
      </c>
      <c r="C529" s="15" t="s">
        <v>280</v>
      </c>
      <c r="D529" s="19">
        <f t="shared" si="49"/>
        <v>0.3</v>
      </c>
      <c r="E529" s="16">
        <f t="shared" si="50"/>
        <v>0.3</v>
      </c>
      <c r="F529" s="16">
        <f t="shared" si="51"/>
        <v>33.700000000000003</v>
      </c>
      <c r="G529" s="16">
        <f t="shared" si="52"/>
        <v>43</v>
      </c>
      <c r="H529" s="24" t="str">
        <f>IFERROR(VLOOKUP(B529,#REF!,8,FALSE),"")</f>
        <v/>
      </c>
      <c r="I529" s="17">
        <v>1893000</v>
      </c>
      <c r="J529" s="17">
        <v>315000</v>
      </c>
      <c r="K529" s="24" t="str">
        <f>IFERROR(VLOOKUP(B529,#REF!,11,FALSE),"")</f>
        <v/>
      </c>
      <c r="L529" s="17">
        <v>15000</v>
      </c>
      <c r="M529" s="6" t="s">
        <v>758</v>
      </c>
      <c r="N529" s="18" t="str">
        <f>IFERROR(VLOOKUP(B529,#REF!,13,FALSE),"")</f>
        <v/>
      </c>
      <c r="O529" s="19" t="str">
        <f>IFERROR(VLOOKUP(B529,#REF!,14,FALSE),"")</f>
        <v/>
      </c>
      <c r="P529" s="19" t="str">
        <f>IFERROR(VLOOKUP(B529,#REF!,15,FALSE),"")</f>
        <v/>
      </c>
      <c r="Q529" s="19"/>
      <c r="R529" s="25" t="str">
        <f>IFERROR(VLOOKUP(B529,#REF!,16,FALSE),"")</f>
        <v/>
      </c>
      <c r="S529" s="17">
        <v>0</v>
      </c>
      <c r="T529" s="17">
        <v>15000</v>
      </c>
      <c r="U529" s="17">
        <v>0</v>
      </c>
      <c r="V529" s="17">
        <v>0</v>
      </c>
      <c r="W529" s="20">
        <v>1908000</v>
      </c>
      <c r="X529" s="16">
        <v>33.9</v>
      </c>
      <c r="Y529" s="21">
        <v>43.4</v>
      </c>
      <c r="Z529" s="20">
        <v>56250</v>
      </c>
      <c r="AA529" s="17">
        <v>44000</v>
      </c>
      <c r="AB529" s="22">
        <v>0.8</v>
      </c>
      <c r="AC529" s="23">
        <f t="shared" si="53"/>
        <v>100</v>
      </c>
      <c r="AD529" s="17">
        <v>291000</v>
      </c>
      <c r="AE529" s="17">
        <v>0</v>
      </c>
      <c r="AF529" s="17">
        <v>105000</v>
      </c>
      <c r="AG529" s="17">
        <v>39000</v>
      </c>
      <c r="AH529" s="15" t="s">
        <v>42</v>
      </c>
    </row>
    <row r="530" spans="1:34">
      <c r="A530" s="13" t="str">
        <f t="shared" si="48"/>
        <v>OverStock</v>
      </c>
      <c r="B530" s="14" t="s">
        <v>515</v>
      </c>
      <c r="C530" s="15" t="s">
        <v>280</v>
      </c>
      <c r="D530" s="19">
        <f t="shared" si="49"/>
        <v>5.7</v>
      </c>
      <c r="E530" s="16">
        <f t="shared" si="50"/>
        <v>4.9000000000000004</v>
      </c>
      <c r="F530" s="16">
        <f t="shared" si="51"/>
        <v>24.5</v>
      </c>
      <c r="G530" s="16">
        <f t="shared" si="52"/>
        <v>21.2</v>
      </c>
      <c r="H530" s="24" t="str">
        <f>IFERROR(VLOOKUP(B530,#REF!,8,FALSE),"")</f>
        <v/>
      </c>
      <c r="I530" s="17">
        <v>6108000</v>
      </c>
      <c r="J530" s="17">
        <v>2073000</v>
      </c>
      <c r="K530" s="24" t="str">
        <f>IFERROR(VLOOKUP(B530,#REF!,11,FALSE),"")</f>
        <v/>
      </c>
      <c r="L530" s="17">
        <v>1416000</v>
      </c>
      <c r="M530" s="6" t="s">
        <v>748</v>
      </c>
      <c r="N530" s="18" t="str">
        <f>IFERROR(VLOOKUP(B530,#REF!,13,FALSE),"")</f>
        <v/>
      </c>
      <c r="O530" s="19" t="str">
        <f>IFERROR(VLOOKUP(B530,#REF!,14,FALSE),"")</f>
        <v/>
      </c>
      <c r="P530" s="19" t="str">
        <f>IFERROR(VLOOKUP(B530,#REF!,15,FALSE),"")</f>
        <v/>
      </c>
      <c r="Q530" s="19"/>
      <c r="R530" s="25" t="str">
        <f>IFERROR(VLOOKUP(B530,#REF!,16,FALSE),"")</f>
        <v/>
      </c>
      <c r="S530" s="17">
        <v>0</v>
      </c>
      <c r="T530" s="17">
        <v>0</v>
      </c>
      <c r="U530" s="17">
        <v>1416000</v>
      </c>
      <c r="V530" s="17">
        <v>0</v>
      </c>
      <c r="W530" s="20">
        <v>7524000</v>
      </c>
      <c r="X530" s="16">
        <v>30.2</v>
      </c>
      <c r="Y530" s="21">
        <v>26.1</v>
      </c>
      <c r="Z530" s="20">
        <v>249000</v>
      </c>
      <c r="AA530" s="17">
        <v>288488</v>
      </c>
      <c r="AB530" s="22">
        <v>1.2</v>
      </c>
      <c r="AC530" s="23">
        <f t="shared" si="53"/>
        <v>100</v>
      </c>
      <c r="AD530" s="17">
        <v>591399</v>
      </c>
      <c r="AE530" s="17">
        <v>1379000</v>
      </c>
      <c r="AF530" s="17">
        <v>815000</v>
      </c>
      <c r="AG530" s="17">
        <v>306100</v>
      </c>
      <c r="AH530" s="15" t="s">
        <v>42</v>
      </c>
    </row>
    <row r="531" spans="1:34">
      <c r="A531" s="13" t="str">
        <f t="shared" si="48"/>
        <v>OverStock</v>
      </c>
      <c r="B531" s="14" t="s">
        <v>516</v>
      </c>
      <c r="C531" s="15" t="s">
        <v>280</v>
      </c>
      <c r="D531" s="19">
        <f t="shared" si="49"/>
        <v>1.9</v>
      </c>
      <c r="E531" s="16">
        <f t="shared" si="50"/>
        <v>2.4</v>
      </c>
      <c r="F531" s="16">
        <f t="shared" si="51"/>
        <v>25.6</v>
      </c>
      <c r="G531" s="16">
        <f t="shared" si="52"/>
        <v>32.5</v>
      </c>
      <c r="H531" s="24" t="str">
        <f>IFERROR(VLOOKUP(B531,#REF!,8,FALSE),"")</f>
        <v/>
      </c>
      <c r="I531" s="17">
        <v>8853000</v>
      </c>
      <c r="J531" s="17">
        <v>3195000</v>
      </c>
      <c r="K531" s="24" t="str">
        <f>IFERROR(VLOOKUP(B531,#REF!,11,FALSE),"")</f>
        <v/>
      </c>
      <c r="L531" s="17">
        <v>657000</v>
      </c>
      <c r="M531" s="6" t="s">
        <v>748</v>
      </c>
      <c r="N531" s="18" t="str">
        <f>IFERROR(VLOOKUP(B531,#REF!,13,FALSE),"")</f>
        <v/>
      </c>
      <c r="O531" s="19" t="str">
        <f>IFERROR(VLOOKUP(B531,#REF!,14,FALSE),"")</f>
        <v/>
      </c>
      <c r="P531" s="19" t="str">
        <f>IFERROR(VLOOKUP(B531,#REF!,15,FALSE),"")</f>
        <v/>
      </c>
      <c r="Q531" s="19"/>
      <c r="R531" s="25" t="str">
        <f>IFERROR(VLOOKUP(B531,#REF!,16,FALSE),"")</f>
        <v/>
      </c>
      <c r="S531" s="17">
        <v>180000</v>
      </c>
      <c r="T531" s="17">
        <v>213000</v>
      </c>
      <c r="U531" s="17">
        <v>264000</v>
      </c>
      <c r="V531" s="17">
        <v>0</v>
      </c>
      <c r="W531" s="20">
        <v>9510000</v>
      </c>
      <c r="X531" s="16">
        <v>27.5</v>
      </c>
      <c r="Y531" s="21">
        <v>34.9</v>
      </c>
      <c r="Z531" s="20">
        <v>345375</v>
      </c>
      <c r="AA531" s="17">
        <v>272255</v>
      </c>
      <c r="AB531" s="22">
        <v>0.8</v>
      </c>
      <c r="AC531" s="23">
        <f t="shared" si="53"/>
        <v>100</v>
      </c>
      <c r="AD531" s="17">
        <v>456388</v>
      </c>
      <c r="AE531" s="17">
        <v>1504500</v>
      </c>
      <c r="AF531" s="17">
        <v>580600</v>
      </c>
      <c r="AG531" s="17">
        <v>880800</v>
      </c>
      <c r="AH531" s="15" t="s">
        <v>42</v>
      </c>
    </row>
    <row r="532" spans="1:34">
      <c r="A532" s="13" t="str">
        <f t="shared" si="48"/>
        <v>Normal</v>
      </c>
      <c r="B532" s="14" t="s">
        <v>518</v>
      </c>
      <c r="C532" s="15" t="s">
        <v>280</v>
      </c>
      <c r="D532" s="19">
        <f t="shared" si="49"/>
        <v>12.3</v>
      </c>
      <c r="E532" s="16">
        <f t="shared" si="50"/>
        <v>22.9</v>
      </c>
      <c r="F532" s="16">
        <f t="shared" si="51"/>
        <v>0</v>
      </c>
      <c r="G532" s="16">
        <f t="shared" si="52"/>
        <v>0</v>
      </c>
      <c r="H532" s="24" t="str">
        <f>IFERROR(VLOOKUP(B532,#REF!,8,FALSE),"")</f>
        <v/>
      </c>
      <c r="I532" s="17">
        <v>0</v>
      </c>
      <c r="J532" s="17">
        <v>0</v>
      </c>
      <c r="K532" s="24" t="str">
        <f>IFERROR(VLOOKUP(B532,#REF!,11,FALSE),"")</f>
        <v/>
      </c>
      <c r="L532" s="17">
        <v>188797</v>
      </c>
      <c r="M532" s="6" t="s">
        <v>760</v>
      </c>
      <c r="N532" s="18" t="str">
        <f>IFERROR(VLOOKUP(B532,#REF!,13,FALSE),"")</f>
        <v/>
      </c>
      <c r="O532" s="19" t="str">
        <f>IFERROR(VLOOKUP(B532,#REF!,14,FALSE),"")</f>
        <v/>
      </c>
      <c r="P532" s="19" t="str">
        <f>IFERROR(VLOOKUP(B532,#REF!,15,FALSE),"")</f>
        <v/>
      </c>
      <c r="Q532" s="19"/>
      <c r="R532" s="25" t="str">
        <f>IFERROR(VLOOKUP(B532,#REF!,16,FALSE),"")</f>
        <v/>
      </c>
      <c r="S532" s="17">
        <v>0</v>
      </c>
      <c r="T532" s="17">
        <v>188797</v>
      </c>
      <c r="U532" s="17">
        <v>0</v>
      </c>
      <c r="V532" s="17">
        <v>0</v>
      </c>
      <c r="W532" s="20">
        <v>188797</v>
      </c>
      <c r="X532" s="16">
        <v>12.3</v>
      </c>
      <c r="Y532" s="21">
        <v>22.9</v>
      </c>
      <c r="Z532" s="20">
        <v>15375</v>
      </c>
      <c r="AA532" s="17">
        <v>8245</v>
      </c>
      <c r="AB532" s="22">
        <v>0.5</v>
      </c>
      <c r="AC532" s="23">
        <f t="shared" si="53"/>
        <v>100</v>
      </c>
      <c r="AD532" s="17">
        <v>0</v>
      </c>
      <c r="AE532" s="17">
        <v>6858</v>
      </c>
      <c r="AF532" s="17">
        <v>69630</v>
      </c>
      <c r="AG532" s="17">
        <v>99144</v>
      </c>
      <c r="AH532" s="15" t="s">
        <v>42</v>
      </c>
    </row>
    <row r="533" spans="1:34">
      <c r="A533" s="13" t="str">
        <f t="shared" si="48"/>
        <v>Normal</v>
      </c>
      <c r="B533" s="14" t="s">
        <v>519</v>
      </c>
      <c r="C533" s="15" t="s">
        <v>280</v>
      </c>
      <c r="D533" s="19">
        <f t="shared" si="49"/>
        <v>5.6</v>
      </c>
      <c r="E533" s="16" t="str">
        <f t="shared" si="50"/>
        <v>--</v>
      </c>
      <c r="F533" s="16">
        <f t="shared" si="51"/>
        <v>0</v>
      </c>
      <c r="G533" s="16" t="str">
        <f t="shared" si="52"/>
        <v>--</v>
      </c>
      <c r="H533" s="24" t="str">
        <f>IFERROR(VLOOKUP(B533,#REF!,8,FALSE),"")</f>
        <v/>
      </c>
      <c r="I533" s="17">
        <v>0</v>
      </c>
      <c r="J533" s="17">
        <v>0</v>
      </c>
      <c r="K533" s="24" t="str">
        <f>IFERROR(VLOOKUP(B533,#REF!,11,FALSE),"")</f>
        <v/>
      </c>
      <c r="L533" s="17">
        <v>168000</v>
      </c>
      <c r="M533" s="6" t="s">
        <v>755</v>
      </c>
      <c r="N533" s="18" t="str">
        <f>IFERROR(VLOOKUP(B533,#REF!,13,FALSE),"")</f>
        <v/>
      </c>
      <c r="O533" s="19" t="str">
        <f>IFERROR(VLOOKUP(B533,#REF!,14,FALSE),"")</f>
        <v/>
      </c>
      <c r="P533" s="19" t="str">
        <f>IFERROR(VLOOKUP(B533,#REF!,15,FALSE),"")</f>
        <v/>
      </c>
      <c r="Q533" s="19"/>
      <c r="R533" s="25" t="str">
        <f>IFERROR(VLOOKUP(B533,#REF!,16,FALSE),"")</f>
        <v/>
      </c>
      <c r="S533" s="17">
        <v>0</v>
      </c>
      <c r="T533" s="17">
        <v>144000</v>
      </c>
      <c r="U533" s="17">
        <v>24000</v>
      </c>
      <c r="V533" s="17">
        <v>0</v>
      </c>
      <c r="W533" s="20">
        <v>168000</v>
      </c>
      <c r="X533" s="16">
        <v>5.6</v>
      </c>
      <c r="Y533" s="21" t="s">
        <v>40</v>
      </c>
      <c r="Z533" s="20">
        <v>30000</v>
      </c>
      <c r="AA533" s="17" t="s">
        <v>40</v>
      </c>
      <c r="AB533" s="22" t="s">
        <v>41</v>
      </c>
      <c r="AC533" s="23" t="str">
        <f t="shared" si="53"/>
        <v>E</v>
      </c>
      <c r="AD533" s="17">
        <v>0</v>
      </c>
      <c r="AE533" s="17">
        <v>0</v>
      </c>
      <c r="AF533" s="17">
        <v>0</v>
      </c>
      <c r="AG533" s="17">
        <v>0</v>
      </c>
      <c r="AH533" s="15" t="s">
        <v>42</v>
      </c>
    </row>
    <row r="534" spans="1:34">
      <c r="A534" s="13" t="str">
        <f t="shared" si="48"/>
        <v>OverStock</v>
      </c>
      <c r="B534" s="14" t="s">
        <v>520</v>
      </c>
      <c r="C534" s="15" t="s">
        <v>280</v>
      </c>
      <c r="D534" s="19">
        <f t="shared" si="49"/>
        <v>5.4</v>
      </c>
      <c r="E534" s="16">
        <f t="shared" si="50"/>
        <v>3.7</v>
      </c>
      <c r="F534" s="16">
        <f t="shared" si="51"/>
        <v>22.5</v>
      </c>
      <c r="G534" s="16">
        <f t="shared" si="52"/>
        <v>15.6</v>
      </c>
      <c r="H534" s="24" t="str">
        <f>IFERROR(VLOOKUP(B534,#REF!,8,FALSE),"")</f>
        <v/>
      </c>
      <c r="I534" s="17">
        <v>5184000</v>
      </c>
      <c r="J534" s="17">
        <v>2643000</v>
      </c>
      <c r="K534" s="24" t="str">
        <f>IFERROR(VLOOKUP(B534,#REF!,11,FALSE),"")</f>
        <v/>
      </c>
      <c r="L534" s="17">
        <v>1238470</v>
      </c>
      <c r="M534" s="6" t="s">
        <v>748</v>
      </c>
      <c r="N534" s="18" t="str">
        <f>IFERROR(VLOOKUP(B534,#REF!,13,FALSE),"")</f>
        <v/>
      </c>
      <c r="O534" s="19" t="str">
        <f>IFERROR(VLOOKUP(B534,#REF!,14,FALSE),"")</f>
        <v/>
      </c>
      <c r="P534" s="19" t="str">
        <f>IFERROR(VLOOKUP(B534,#REF!,15,FALSE),"")</f>
        <v/>
      </c>
      <c r="Q534" s="19"/>
      <c r="R534" s="25" t="str">
        <f>IFERROR(VLOOKUP(B534,#REF!,16,FALSE),"")</f>
        <v/>
      </c>
      <c r="S534" s="17">
        <v>333000</v>
      </c>
      <c r="T534" s="17">
        <v>2470</v>
      </c>
      <c r="U534" s="17">
        <v>903000</v>
      </c>
      <c r="V534" s="17">
        <v>0</v>
      </c>
      <c r="W534" s="20">
        <v>6422470</v>
      </c>
      <c r="X534" s="16">
        <v>27.9</v>
      </c>
      <c r="Y534" s="21">
        <v>19.399999999999999</v>
      </c>
      <c r="Z534" s="20">
        <v>230250</v>
      </c>
      <c r="AA534" s="17">
        <v>331409</v>
      </c>
      <c r="AB534" s="22">
        <v>1.4</v>
      </c>
      <c r="AC534" s="23">
        <f t="shared" si="53"/>
        <v>100</v>
      </c>
      <c r="AD534" s="17">
        <v>462060</v>
      </c>
      <c r="AE534" s="17">
        <v>1508560</v>
      </c>
      <c r="AF534" s="17">
        <v>1109600</v>
      </c>
      <c r="AG534" s="17">
        <v>760460</v>
      </c>
      <c r="AH534" s="15" t="s">
        <v>42</v>
      </c>
    </row>
    <row r="535" spans="1:34">
      <c r="A535" s="13" t="str">
        <f t="shared" si="48"/>
        <v>OverStock</v>
      </c>
      <c r="B535" s="14" t="s">
        <v>521</v>
      </c>
      <c r="C535" s="15" t="s">
        <v>522</v>
      </c>
      <c r="D535" s="19">
        <f t="shared" si="49"/>
        <v>0.9</v>
      </c>
      <c r="E535" s="16">
        <f t="shared" si="50"/>
        <v>1.7</v>
      </c>
      <c r="F535" s="16">
        <f t="shared" si="51"/>
        <v>16.600000000000001</v>
      </c>
      <c r="G535" s="16">
        <f t="shared" si="52"/>
        <v>30.4</v>
      </c>
      <c r="H535" s="24" t="str">
        <f>IFERROR(VLOOKUP(B535,#REF!,8,FALSE),"")</f>
        <v/>
      </c>
      <c r="I535" s="17">
        <v>54000</v>
      </c>
      <c r="J535" s="17">
        <v>54000</v>
      </c>
      <c r="K535" s="24" t="str">
        <f>IFERROR(VLOOKUP(B535,#REF!,11,FALSE),"")</f>
        <v/>
      </c>
      <c r="L535" s="17">
        <v>3000</v>
      </c>
      <c r="M535" s="6" t="s">
        <v>758</v>
      </c>
      <c r="N535" s="18" t="str">
        <f>IFERROR(VLOOKUP(B535,#REF!,13,FALSE),"")</f>
        <v/>
      </c>
      <c r="O535" s="19" t="str">
        <f>IFERROR(VLOOKUP(B535,#REF!,14,FALSE),"")</f>
        <v/>
      </c>
      <c r="P535" s="19" t="str">
        <f>IFERROR(VLOOKUP(B535,#REF!,15,FALSE),"")</f>
        <v/>
      </c>
      <c r="Q535" s="19"/>
      <c r="R535" s="25" t="str">
        <f>IFERROR(VLOOKUP(B535,#REF!,16,FALSE),"")</f>
        <v/>
      </c>
      <c r="S535" s="17">
        <v>0</v>
      </c>
      <c r="T535" s="17">
        <v>3000</v>
      </c>
      <c r="U535" s="17">
        <v>0</v>
      </c>
      <c r="V535" s="17">
        <v>0</v>
      </c>
      <c r="W535" s="20">
        <v>57000</v>
      </c>
      <c r="X535" s="16">
        <v>17.5</v>
      </c>
      <c r="Y535" s="21">
        <v>32.1</v>
      </c>
      <c r="Z535" s="20">
        <v>3250</v>
      </c>
      <c r="AA535" s="17">
        <v>1775</v>
      </c>
      <c r="AB535" s="22">
        <v>0.5</v>
      </c>
      <c r="AC535" s="23">
        <f t="shared" si="53"/>
        <v>100</v>
      </c>
      <c r="AD535" s="17">
        <v>0</v>
      </c>
      <c r="AE535" s="17">
        <v>5000</v>
      </c>
      <c r="AF535" s="17">
        <v>21972</v>
      </c>
      <c r="AG535" s="17">
        <v>7000</v>
      </c>
      <c r="AH535" s="15" t="s">
        <v>42</v>
      </c>
    </row>
    <row r="536" spans="1:34">
      <c r="A536" s="13" t="str">
        <f t="shared" si="48"/>
        <v>Normal</v>
      </c>
      <c r="B536" s="14" t="s">
        <v>523</v>
      </c>
      <c r="C536" s="15" t="s">
        <v>522</v>
      </c>
      <c r="D536" s="19">
        <f t="shared" si="49"/>
        <v>0</v>
      </c>
      <c r="E536" s="16" t="str">
        <f t="shared" si="50"/>
        <v>--</v>
      </c>
      <c r="F536" s="16">
        <f t="shared" si="51"/>
        <v>0</v>
      </c>
      <c r="G536" s="16" t="str">
        <f t="shared" si="52"/>
        <v>--</v>
      </c>
      <c r="H536" s="24" t="str">
        <f>IFERROR(VLOOKUP(B536,#REF!,8,FALSE),"")</f>
        <v/>
      </c>
      <c r="I536" s="17">
        <v>0</v>
      </c>
      <c r="J536" s="17">
        <v>0</v>
      </c>
      <c r="K536" s="24" t="str">
        <f>IFERROR(VLOOKUP(B536,#REF!,11,FALSE),"")</f>
        <v/>
      </c>
      <c r="L536" s="17">
        <v>0</v>
      </c>
      <c r="M536" s="6" t="s">
        <v>748</v>
      </c>
      <c r="N536" s="18" t="str">
        <f>IFERROR(VLOOKUP(B536,#REF!,13,FALSE),"")</f>
        <v/>
      </c>
      <c r="O536" s="19" t="str">
        <f>IFERROR(VLOOKUP(B536,#REF!,14,FALSE),"")</f>
        <v/>
      </c>
      <c r="P536" s="19" t="str">
        <f>IFERROR(VLOOKUP(B536,#REF!,15,FALSE),"")</f>
        <v/>
      </c>
      <c r="Q536" s="19"/>
      <c r="R536" s="25" t="str">
        <f>IFERROR(VLOOKUP(B536,#REF!,16,FALSE),"")</f>
        <v/>
      </c>
      <c r="S536" s="17">
        <v>0</v>
      </c>
      <c r="T536" s="17">
        <v>0</v>
      </c>
      <c r="U536" s="17">
        <v>0</v>
      </c>
      <c r="V536" s="17">
        <v>0</v>
      </c>
      <c r="W536" s="20">
        <v>0</v>
      </c>
      <c r="X536" s="16">
        <v>0</v>
      </c>
      <c r="Y536" s="21" t="s">
        <v>40</v>
      </c>
      <c r="Z536" s="20">
        <v>1313</v>
      </c>
      <c r="AA536" s="17" t="s">
        <v>40</v>
      </c>
      <c r="AB536" s="22" t="s">
        <v>41</v>
      </c>
      <c r="AC536" s="23" t="str">
        <f t="shared" si="53"/>
        <v>E</v>
      </c>
      <c r="AD536" s="17">
        <v>0</v>
      </c>
      <c r="AE536" s="17">
        <v>0</v>
      </c>
      <c r="AF536" s="17">
        <v>0</v>
      </c>
      <c r="AG536" s="17">
        <v>0</v>
      </c>
      <c r="AH536" s="15" t="s">
        <v>42</v>
      </c>
    </row>
    <row r="537" spans="1:34">
      <c r="A537" s="13" t="str">
        <f t="shared" si="48"/>
        <v>Normal</v>
      </c>
      <c r="B537" s="14" t="s">
        <v>524</v>
      </c>
      <c r="C537" s="15" t="s">
        <v>522</v>
      </c>
      <c r="D537" s="19">
        <f t="shared" si="49"/>
        <v>3.2</v>
      </c>
      <c r="E537" s="16" t="str">
        <f t="shared" si="50"/>
        <v>--</v>
      </c>
      <c r="F537" s="16">
        <f t="shared" si="51"/>
        <v>0</v>
      </c>
      <c r="G537" s="16" t="str">
        <f t="shared" si="52"/>
        <v>--</v>
      </c>
      <c r="H537" s="24" t="str">
        <f>IFERROR(VLOOKUP(B537,#REF!,8,FALSE),"")</f>
        <v/>
      </c>
      <c r="I537" s="17">
        <v>0</v>
      </c>
      <c r="J537" s="17">
        <v>0</v>
      </c>
      <c r="K537" s="24" t="str">
        <f>IFERROR(VLOOKUP(B537,#REF!,11,FALSE),"")</f>
        <v/>
      </c>
      <c r="L537" s="17">
        <v>1000</v>
      </c>
      <c r="M537" s="6" t="s">
        <v>752</v>
      </c>
      <c r="N537" s="18" t="str">
        <f>IFERROR(VLOOKUP(B537,#REF!,13,FALSE),"")</f>
        <v/>
      </c>
      <c r="O537" s="19" t="str">
        <f>IFERROR(VLOOKUP(B537,#REF!,14,FALSE),"")</f>
        <v/>
      </c>
      <c r="P537" s="19" t="str">
        <f>IFERROR(VLOOKUP(B537,#REF!,15,FALSE),"")</f>
        <v/>
      </c>
      <c r="Q537" s="19"/>
      <c r="R537" s="25" t="str">
        <f>IFERROR(VLOOKUP(B537,#REF!,16,FALSE),"")</f>
        <v/>
      </c>
      <c r="S537" s="17">
        <v>0</v>
      </c>
      <c r="T537" s="17">
        <v>1000</v>
      </c>
      <c r="U537" s="17">
        <v>0</v>
      </c>
      <c r="V537" s="17">
        <v>0</v>
      </c>
      <c r="W537" s="20">
        <v>1000</v>
      </c>
      <c r="X537" s="16">
        <v>3.2</v>
      </c>
      <c r="Y537" s="21" t="s">
        <v>40</v>
      </c>
      <c r="Z537" s="20">
        <v>313</v>
      </c>
      <c r="AA537" s="17" t="s">
        <v>40</v>
      </c>
      <c r="AB537" s="22" t="s">
        <v>41</v>
      </c>
      <c r="AC537" s="23" t="str">
        <f t="shared" si="53"/>
        <v>E</v>
      </c>
      <c r="AD537" s="17">
        <v>0</v>
      </c>
      <c r="AE537" s="17">
        <v>0</v>
      </c>
      <c r="AF537" s="17">
        <v>0</v>
      </c>
      <c r="AG537" s="17">
        <v>0</v>
      </c>
      <c r="AH537" s="15" t="s">
        <v>42</v>
      </c>
    </row>
    <row r="538" spans="1:34">
      <c r="A538" s="13" t="str">
        <f t="shared" si="48"/>
        <v>Normal</v>
      </c>
      <c r="B538" s="14" t="s">
        <v>525</v>
      </c>
      <c r="C538" s="15" t="s">
        <v>522</v>
      </c>
      <c r="D538" s="19">
        <f t="shared" si="49"/>
        <v>8</v>
      </c>
      <c r="E538" s="16" t="str">
        <f t="shared" si="50"/>
        <v>--</v>
      </c>
      <c r="F538" s="16">
        <f t="shared" si="51"/>
        <v>0</v>
      </c>
      <c r="G538" s="16" t="str">
        <f t="shared" si="52"/>
        <v>--</v>
      </c>
      <c r="H538" s="24" t="str">
        <f>IFERROR(VLOOKUP(B538,#REF!,8,FALSE),"")</f>
        <v/>
      </c>
      <c r="I538" s="17">
        <v>0</v>
      </c>
      <c r="J538" s="17">
        <v>0</v>
      </c>
      <c r="K538" s="24" t="str">
        <f>IFERROR(VLOOKUP(B538,#REF!,11,FALSE),"")</f>
        <v/>
      </c>
      <c r="L538" s="17">
        <v>12000</v>
      </c>
      <c r="M538" s="6" t="s">
        <v>748</v>
      </c>
      <c r="N538" s="18" t="str">
        <f>IFERROR(VLOOKUP(B538,#REF!,13,FALSE),"")</f>
        <v/>
      </c>
      <c r="O538" s="19" t="str">
        <f>IFERROR(VLOOKUP(B538,#REF!,14,FALSE),"")</f>
        <v/>
      </c>
      <c r="P538" s="19" t="str">
        <f>IFERROR(VLOOKUP(B538,#REF!,15,FALSE),"")</f>
        <v/>
      </c>
      <c r="Q538" s="19"/>
      <c r="R538" s="25" t="str">
        <f>IFERROR(VLOOKUP(B538,#REF!,16,FALSE),"")</f>
        <v/>
      </c>
      <c r="S538" s="17">
        <v>0</v>
      </c>
      <c r="T538" s="17">
        <v>12000</v>
      </c>
      <c r="U538" s="17">
        <v>0</v>
      </c>
      <c r="V538" s="17">
        <v>0</v>
      </c>
      <c r="W538" s="20">
        <v>12000</v>
      </c>
      <c r="X538" s="16">
        <v>8</v>
      </c>
      <c r="Y538" s="21" t="s">
        <v>40</v>
      </c>
      <c r="Z538" s="20">
        <v>1500</v>
      </c>
      <c r="AA538" s="17" t="s">
        <v>40</v>
      </c>
      <c r="AB538" s="22" t="s">
        <v>41</v>
      </c>
      <c r="AC538" s="23" t="str">
        <f t="shared" si="53"/>
        <v>E</v>
      </c>
      <c r="AD538" s="17">
        <v>0</v>
      </c>
      <c r="AE538" s="17">
        <v>0</v>
      </c>
      <c r="AF538" s="17">
        <v>0</v>
      </c>
      <c r="AG538" s="17">
        <v>0</v>
      </c>
      <c r="AH538" s="15" t="s">
        <v>42</v>
      </c>
    </row>
    <row r="539" spans="1:34">
      <c r="A539" s="13" t="str">
        <f t="shared" si="48"/>
        <v>Normal</v>
      </c>
      <c r="B539" s="14" t="s">
        <v>526</v>
      </c>
      <c r="C539" s="15" t="s">
        <v>522</v>
      </c>
      <c r="D539" s="19">
        <f t="shared" si="49"/>
        <v>0.5</v>
      </c>
      <c r="E539" s="16" t="str">
        <f t="shared" si="50"/>
        <v>--</v>
      </c>
      <c r="F539" s="16">
        <f t="shared" si="51"/>
        <v>0</v>
      </c>
      <c r="G539" s="16" t="str">
        <f t="shared" si="52"/>
        <v>--</v>
      </c>
      <c r="H539" s="24" t="str">
        <f>IFERROR(VLOOKUP(B539,#REF!,8,FALSE),"")</f>
        <v/>
      </c>
      <c r="I539" s="17">
        <v>0</v>
      </c>
      <c r="J539" s="17">
        <v>0</v>
      </c>
      <c r="K539" s="24" t="str">
        <f>IFERROR(VLOOKUP(B539,#REF!,11,FALSE),"")</f>
        <v/>
      </c>
      <c r="L539" s="17">
        <v>2941</v>
      </c>
      <c r="M539" s="6" t="s">
        <v>748</v>
      </c>
      <c r="N539" s="18" t="str">
        <f>IFERROR(VLOOKUP(B539,#REF!,13,FALSE),"")</f>
        <v/>
      </c>
      <c r="O539" s="19" t="str">
        <f>IFERROR(VLOOKUP(B539,#REF!,14,FALSE),"")</f>
        <v/>
      </c>
      <c r="P539" s="19" t="str">
        <f>IFERROR(VLOOKUP(B539,#REF!,15,FALSE),"")</f>
        <v/>
      </c>
      <c r="Q539" s="19"/>
      <c r="R539" s="25" t="str">
        <f>IFERROR(VLOOKUP(B539,#REF!,16,FALSE),"")</f>
        <v/>
      </c>
      <c r="S539" s="17">
        <v>0</v>
      </c>
      <c r="T539" s="17">
        <v>2941</v>
      </c>
      <c r="U539" s="17">
        <v>0</v>
      </c>
      <c r="V539" s="17">
        <v>0</v>
      </c>
      <c r="W539" s="20">
        <v>2941</v>
      </c>
      <c r="X539" s="16">
        <v>0.5</v>
      </c>
      <c r="Y539" s="21" t="s">
        <v>40</v>
      </c>
      <c r="Z539" s="20">
        <v>6000</v>
      </c>
      <c r="AA539" s="17" t="s">
        <v>40</v>
      </c>
      <c r="AB539" s="22" t="s">
        <v>41</v>
      </c>
      <c r="AC539" s="23" t="str">
        <f t="shared" si="53"/>
        <v>E</v>
      </c>
      <c r="AD539" s="17">
        <v>0</v>
      </c>
      <c r="AE539" s="17">
        <v>0</v>
      </c>
      <c r="AF539" s="17">
        <v>0</v>
      </c>
      <c r="AG539" s="17">
        <v>0</v>
      </c>
      <c r="AH539" s="15" t="s">
        <v>42</v>
      </c>
    </row>
    <row r="540" spans="1:34">
      <c r="A540" s="13" t="str">
        <f t="shared" si="48"/>
        <v>Normal</v>
      </c>
      <c r="B540" s="14" t="s">
        <v>528</v>
      </c>
      <c r="C540" s="15" t="s">
        <v>277</v>
      </c>
      <c r="D540" s="19">
        <f t="shared" si="49"/>
        <v>8</v>
      </c>
      <c r="E540" s="16" t="str">
        <f t="shared" si="50"/>
        <v>--</v>
      </c>
      <c r="F540" s="16">
        <f t="shared" si="51"/>
        <v>0</v>
      </c>
      <c r="G540" s="16" t="str">
        <f t="shared" si="52"/>
        <v>--</v>
      </c>
      <c r="H540" s="24" t="str">
        <f>IFERROR(VLOOKUP(B540,#REF!,8,FALSE),"")</f>
        <v/>
      </c>
      <c r="I540" s="17">
        <v>0</v>
      </c>
      <c r="J540" s="17">
        <v>0</v>
      </c>
      <c r="K540" s="24" t="str">
        <f>IFERROR(VLOOKUP(B540,#REF!,11,FALSE),"")</f>
        <v/>
      </c>
      <c r="L540" s="17">
        <v>3000</v>
      </c>
      <c r="M540" s="6" t="s">
        <v>752</v>
      </c>
      <c r="N540" s="18" t="str">
        <f>IFERROR(VLOOKUP(B540,#REF!,13,FALSE),"")</f>
        <v/>
      </c>
      <c r="O540" s="19" t="str">
        <f>IFERROR(VLOOKUP(B540,#REF!,14,FALSE),"")</f>
        <v/>
      </c>
      <c r="P540" s="19" t="str">
        <f>IFERROR(VLOOKUP(B540,#REF!,15,FALSE),"")</f>
        <v/>
      </c>
      <c r="Q540" s="19"/>
      <c r="R540" s="25" t="str">
        <f>IFERROR(VLOOKUP(B540,#REF!,16,FALSE),"")</f>
        <v/>
      </c>
      <c r="S540" s="17">
        <v>0</v>
      </c>
      <c r="T540" s="17">
        <v>3000</v>
      </c>
      <c r="U540" s="17">
        <v>0</v>
      </c>
      <c r="V540" s="17">
        <v>0</v>
      </c>
      <c r="W540" s="20">
        <v>3000</v>
      </c>
      <c r="X540" s="16">
        <v>8</v>
      </c>
      <c r="Y540" s="21" t="s">
        <v>40</v>
      </c>
      <c r="Z540" s="20">
        <v>375</v>
      </c>
      <c r="AA540" s="17" t="s">
        <v>40</v>
      </c>
      <c r="AB540" s="22" t="s">
        <v>41</v>
      </c>
      <c r="AC540" s="23" t="str">
        <f t="shared" si="53"/>
        <v>E</v>
      </c>
      <c r="AD540" s="17">
        <v>0</v>
      </c>
      <c r="AE540" s="17">
        <v>0</v>
      </c>
      <c r="AF540" s="17">
        <v>0</v>
      </c>
      <c r="AG540" s="17">
        <v>0</v>
      </c>
      <c r="AH540" s="15" t="s">
        <v>42</v>
      </c>
    </row>
    <row r="541" spans="1:34">
      <c r="A541" s="13" t="str">
        <f t="shared" si="48"/>
        <v>Normal</v>
      </c>
      <c r="B541" s="14" t="s">
        <v>531</v>
      </c>
      <c r="C541" s="15" t="s">
        <v>277</v>
      </c>
      <c r="D541" s="19">
        <f t="shared" si="49"/>
        <v>0</v>
      </c>
      <c r="E541" s="16">
        <f t="shared" si="50"/>
        <v>0</v>
      </c>
      <c r="F541" s="16">
        <f t="shared" si="51"/>
        <v>6.5</v>
      </c>
      <c r="G541" s="16">
        <f t="shared" si="52"/>
        <v>10.6</v>
      </c>
      <c r="H541" s="24" t="str">
        <f>IFERROR(VLOOKUP(B541,#REF!,8,FALSE),"")</f>
        <v/>
      </c>
      <c r="I541" s="17">
        <v>81000</v>
      </c>
      <c r="J541" s="17">
        <v>63000</v>
      </c>
      <c r="K541" s="24" t="str">
        <f>IFERROR(VLOOKUP(B541,#REF!,11,FALSE),"")</f>
        <v/>
      </c>
      <c r="L541" s="17">
        <v>0</v>
      </c>
      <c r="M541" s="6" t="s">
        <v>758</v>
      </c>
      <c r="N541" s="18" t="str">
        <f>IFERROR(VLOOKUP(B541,#REF!,13,FALSE),"")</f>
        <v/>
      </c>
      <c r="O541" s="19" t="str">
        <f>IFERROR(VLOOKUP(B541,#REF!,14,FALSE),"")</f>
        <v/>
      </c>
      <c r="P541" s="19" t="str">
        <f>IFERROR(VLOOKUP(B541,#REF!,15,FALSE),"")</f>
        <v/>
      </c>
      <c r="Q541" s="19"/>
      <c r="R541" s="25" t="str">
        <f>IFERROR(VLOOKUP(B541,#REF!,16,FALSE),"")</f>
        <v/>
      </c>
      <c r="S541" s="17">
        <v>0</v>
      </c>
      <c r="T541" s="17">
        <v>0</v>
      </c>
      <c r="U541" s="17">
        <v>0</v>
      </c>
      <c r="V541" s="17">
        <v>0</v>
      </c>
      <c r="W541" s="20">
        <v>81000</v>
      </c>
      <c r="X541" s="16">
        <v>6.5</v>
      </c>
      <c r="Y541" s="21">
        <v>10.6</v>
      </c>
      <c r="Z541" s="20">
        <v>12375</v>
      </c>
      <c r="AA541" s="17">
        <v>7667</v>
      </c>
      <c r="AB541" s="22">
        <v>0.6</v>
      </c>
      <c r="AC541" s="23">
        <f t="shared" si="53"/>
        <v>100</v>
      </c>
      <c r="AD541" s="17">
        <v>9000</v>
      </c>
      <c r="AE541" s="17">
        <v>30000</v>
      </c>
      <c r="AF541" s="17">
        <v>39000</v>
      </c>
      <c r="AG541" s="17">
        <v>9000</v>
      </c>
      <c r="AH541" s="15" t="s">
        <v>42</v>
      </c>
    </row>
    <row r="542" spans="1:34">
      <c r="A542" s="13" t="str">
        <f t="shared" si="48"/>
        <v>OverStock</v>
      </c>
      <c r="B542" s="14" t="s">
        <v>533</v>
      </c>
      <c r="C542" s="15" t="s">
        <v>277</v>
      </c>
      <c r="D542" s="19">
        <f t="shared" si="49"/>
        <v>23.6</v>
      </c>
      <c r="E542" s="16">
        <f t="shared" si="50"/>
        <v>3.9</v>
      </c>
      <c r="F542" s="16">
        <f t="shared" si="51"/>
        <v>39.4</v>
      </c>
      <c r="G542" s="16">
        <f t="shared" si="52"/>
        <v>6.4</v>
      </c>
      <c r="H542" s="24" t="str">
        <f>IFERROR(VLOOKUP(B542,#REF!,8,FALSE),"")</f>
        <v/>
      </c>
      <c r="I542" s="17">
        <v>1300</v>
      </c>
      <c r="J542" s="17">
        <v>1040</v>
      </c>
      <c r="K542" s="24" t="str">
        <f>IFERROR(VLOOKUP(B542,#REF!,11,FALSE),"")</f>
        <v/>
      </c>
      <c r="L542" s="17">
        <v>780</v>
      </c>
      <c r="M542" s="6" t="s">
        <v>748</v>
      </c>
      <c r="N542" s="18" t="str">
        <f>IFERROR(VLOOKUP(B542,#REF!,13,FALSE),"")</f>
        <v/>
      </c>
      <c r="O542" s="19" t="str">
        <f>IFERROR(VLOOKUP(B542,#REF!,14,FALSE),"")</f>
        <v/>
      </c>
      <c r="P542" s="19" t="str">
        <f>IFERROR(VLOOKUP(B542,#REF!,15,FALSE),"")</f>
        <v/>
      </c>
      <c r="Q542" s="19"/>
      <c r="R542" s="25" t="str">
        <f>IFERROR(VLOOKUP(B542,#REF!,16,FALSE),"")</f>
        <v/>
      </c>
      <c r="S542" s="17">
        <v>0</v>
      </c>
      <c r="T542" s="17">
        <v>780</v>
      </c>
      <c r="U542" s="17">
        <v>0</v>
      </c>
      <c r="V542" s="17">
        <v>0</v>
      </c>
      <c r="W542" s="20">
        <v>2080</v>
      </c>
      <c r="X542" s="16">
        <v>63</v>
      </c>
      <c r="Y542" s="21">
        <v>10.3</v>
      </c>
      <c r="Z542" s="20">
        <v>33</v>
      </c>
      <c r="AA542" s="17">
        <v>202</v>
      </c>
      <c r="AB542" s="22">
        <v>6.1</v>
      </c>
      <c r="AC542" s="23">
        <f t="shared" si="53"/>
        <v>150</v>
      </c>
      <c r="AD542" s="17">
        <v>780</v>
      </c>
      <c r="AE542" s="17">
        <v>0</v>
      </c>
      <c r="AF542" s="17">
        <v>1040</v>
      </c>
      <c r="AG542" s="17">
        <v>260</v>
      </c>
      <c r="AH542" s="15" t="s">
        <v>42</v>
      </c>
    </row>
    <row r="543" spans="1:34">
      <c r="A543" s="13" t="str">
        <f t="shared" si="48"/>
        <v>None</v>
      </c>
      <c r="B543" s="14" t="s">
        <v>534</v>
      </c>
      <c r="C543" s="15" t="s">
        <v>277</v>
      </c>
      <c r="D543" s="19" t="str">
        <f t="shared" si="49"/>
        <v>前八週無拉料</v>
      </c>
      <c r="E543" s="16" t="str">
        <f t="shared" si="50"/>
        <v>--</v>
      </c>
      <c r="F543" s="16" t="str">
        <f t="shared" si="51"/>
        <v>--</v>
      </c>
      <c r="G543" s="16" t="str">
        <f t="shared" si="52"/>
        <v>--</v>
      </c>
      <c r="H543" s="24" t="str">
        <f>IFERROR(VLOOKUP(B543,#REF!,8,FALSE),"")</f>
        <v/>
      </c>
      <c r="I543" s="17">
        <v>0</v>
      </c>
      <c r="J543" s="17">
        <v>0</v>
      </c>
      <c r="K543" s="24" t="str">
        <f>IFERROR(VLOOKUP(B543,#REF!,11,FALSE),"")</f>
        <v/>
      </c>
      <c r="L543" s="17">
        <v>0</v>
      </c>
      <c r="M543" s="6" t="s">
        <v>761</v>
      </c>
      <c r="N543" s="18" t="str">
        <f>IFERROR(VLOOKUP(B543,#REF!,13,FALSE),"")</f>
        <v/>
      </c>
      <c r="O543" s="19" t="str">
        <f>IFERROR(VLOOKUP(B543,#REF!,14,FALSE),"")</f>
        <v/>
      </c>
      <c r="P543" s="19" t="str">
        <f>IFERROR(VLOOKUP(B543,#REF!,15,FALSE),"")</f>
        <v/>
      </c>
      <c r="Q543" s="19"/>
      <c r="R543" s="25" t="str">
        <f>IFERROR(VLOOKUP(B543,#REF!,16,FALSE),"")</f>
        <v/>
      </c>
      <c r="S543" s="17">
        <v>0</v>
      </c>
      <c r="T543" s="17">
        <v>0</v>
      </c>
      <c r="U543" s="17">
        <v>0</v>
      </c>
      <c r="V543" s="17">
        <v>0</v>
      </c>
      <c r="W543" s="20">
        <v>0</v>
      </c>
      <c r="X543" s="16" t="s">
        <v>40</v>
      </c>
      <c r="Y543" s="21" t="s">
        <v>40</v>
      </c>
      <c r="Z543" s="20">
        <v>0</v>
      </c>
      <c r="AA543" s="17" t="s">
        <v>40</v>
      </c>
      <c r="AB543" s="22" t="s">
        <v>41</v>
      </c>
      <c r="AC543" s="23" t="str">
        <f t="shared" si="53"/>
        <v>E</v>
      </c>
      <c r="AD543" s="17">
        <v>0</v>
      </c>
      <c r="AE543" s="17">
        <v>0</v>
      </c>
      <c r="AF543" s="17">
        <v>0</v>
      </c>
      <c r="AG543" s="17">
        <v>0</v>
      </c>
      <c r="AH543" s="15" t="s">
        <v>42</v>
      </c>
    </row>
    <row r="544" spans="1:34">
      <c r="A544" s="13" t="str">
        <f t="shared" si="48"/>
        <v>None</v>
      </c>
      <c r="B544" s="14" t="s">
        <v>535</v>
      </c>
      <c r="C544" s="15" t="s">
        <v>277</v>
      </c>
      <c r="D544" s="19" t="str">
        <f t="shared" si="49"/>
        <v>前八週無拉料</v>
      </c>
      <c r="E544" s="16" t="str">
        <f t="shared" si="50"/>
        <v>--</v>
      </c>
      <c r="F544" s="16" t="str">
        <f t="shared" si="51"/>
        <v>--</v>
      </c>
      <c r="G544" s="16" t="str">
        <f t="shared" si="52"/>
        <v>--</v>
      </c>
      <c r="H544" s="24" t="str">
        <f>IFERROR(VLOOKUP(B544,#REF!,8,FALSE),"")</f>
        <v/>
      </c>
      <c r="I544" s="17">
        <v>0</v>
      </c>
      <c r="J544" s="17">
        <v>0</v>
      </c>
      <c r="K544" s="24" t="str">
        <f>IFERROR(VLOOKUP(B544,#REF!,11,FALSE),"")</f>
        <v/>
      </c>
      <c r="L544" s="17">
        <v>0</v>
      </c>
      <c r="M544" s="6" t="s">
        <v>748</v>
      </c>
      <c r="N544" s="18" t="str">
        <f>IFERROR(VLOOKUP(B544,#REF!,13,FALSE),"")</f>
        <v/>
      </c>
      <c r="O544" s="19" t="str">
        <f>IFERROR(VLOOKUP(B544,#REF!,14,FALSE),"")</f>
        <v/>
      </c>
      <c r="P544" s="19" t="str">
        <f>IFERROR(VLOOKUP(B544,#REF!,15,FALSE),"")</f>
        <v/>
      </c>
      <c r="Q544" s="19"/>
      <c r="R544" s="25" t="str">
        <f>IFERROR(VLOOKUP(B544,#REF!,16,FALSE),"")</f>
        <v/>
      </c>
      <c r="S544" s="17">
        <v>0</v>
      </c>
      <c r="T544" s="17">
        <v>0</v>
      </c>
      <c r="U544" s="17">
        <v>0</v>
      </c>
      <c r="V544" s="17">
        <v>0</v>
      </c>
      <c r="W544" s="20">
        <v>0</v>
      </c>
      <c r="X544" s="16" t="s">
        <v>40</v>
      </c>
      <c r="Y544" s="21" t="s">
        <v>40</v>
      </c>
      <c r="Z544" s="20">
        <v>0</v>
      </c>
      <c r="AA544" s="17">
        <v>0</v>
      </c>
      <c r="AB544" s="22" t="s">
        <v>41</v>
      </c>
      <c r="AC544" s="23" t="str">
        <f t="shared" si="53"/>
        <v>E</v>
      </c>
      <c r="AD544" s="17">
        <v>0</v>
      </c>
      <c r="AE544" s="17">
        <v>0</v>
      </c>
      <c r="AF544" s="17">
        <v>0</v>
      </c>
      <c r="AG544" s="17">
        <v>0</v>
      </c>
      <c r="AH544" s="15" t="s">
        <v>42</v>
      </c>
    </row>
    <row r="545" spans="1:34">
      <c r="A545" s="13" t="str">
        <f t="shared" si="48"/>
        <v>Normal</v>
      </c>
      <c r="B545" s="14" t="s">
        <v>536</v>
      </c>
      <c r="C545" s="15" t="s">
        <v>277</v>
      </c>
      <c r="D545" s="19">
        <f t="shared" si="49"/>
        <v>8.1</v>
      </c>
      <c r="E545" s="16">
        <f t="shared" si="50"/>
        <v>2.2999999999999998</v>
      </c>
      <c r="F545" s="16">
        <f t="shared" si="51"/>
        <v>0</v>
      </c>
      <c r="G545" s="16">
        <f t="shared" si="52"/>
        <v>0</v>
      </c>
      <c r="H545" s="24" t="str">
        <f>IFERROR(VLOOKUP(B545,#REF!,8,FALSE),"")</f>
        <v/>
      </c>
      <c r="I545" s="17">
        <v>0</v>
      </c>
      <c r="J545" s="17">
        <v>0</v>
      </c>
      <c r="K545" s="24" t="str">
        <f>IFERROR(VLOOKUP(B545,#REF!,11,FALSE),"")</f>
        <v/>
      </c>
      <c r="L545" s="17">
        <v>250</v>
      </c>
      <c r="M545" s="6" t="s">
        <v>758</v>
      </c>
      <c r="N545" s="18" t="str">
        <f>IFERROR(VLOOKUP(B545,#REF!,13,FALSE),"")</f>
        <v/>
      </c>
      <c r="O545" s="19" t="str">
        <f>IFERROR(VLOOKUP(B545,#REF!,14,FALSE),"")</f>
        <v/>
      </c>
      <c r="P545" s="19" t="str">
        <f>IFERROR(VLOOKUP(B545,#REF!,15,FALSE),"")</f>
        <v/>
      </c>
      <c r="Q545" s="19"/>
      <c r="R545" s="25" t="str">
        <f>IFERROR(VLOOKUP(B545,#REF!,16,FALSE),"")</f>
        <v/>
      </c>
      <c r="S545" s="17">
        <v>0</v>
      </c>
      <c r="T545" s="17">
        <v>250</v>
      </c>
      <c r="U545" s="17">
        <v>0</v>
      </c>
      <c r="V545" s="17">
        <v>0</v>
      </c>
      <c r="W545" s="20">
        <v>250</v>
      </c>
      <c r="X545" s="16">
        <v>8.1</v>
      </c>
      <c r="Y545" s="21">
        <v>2.2999999999999998</v>
      </c>
      <c r="Z545" s="20">
        <v>31</v>
      </c>
      <c r="AA545" s="17">
        <v>111</v>
      </c>
      <c r="AB545" s="22">
        <v>3.6</v>
      </c>
      <c r="AC545" s="23">
        <f t="shared" si="53"/>
        <v>150</v>
      </c>
      <c r="AD545" s="17">
        <v>0</v>
      </c>
      <c r="AE545" s="17">
        <v>0</v>
      </c>
      <c r="AF545" s="17">
        <v>1000</v>
      </c>
      <c r="AG545" s="17">
        <v>0</v>
      </c>
      <c r="AH545" s="15" t="s">
        <v>42</v>
      </c>
    </row>
    <row r="546" spans="1:34">
      <c r="A546" s="13" t="str">
        <f t="shared" si="48"/>
        <v>Normal</v>
      </c>
      <c r="B546" s="14" t="s">
        <v>537</v>
      </c>
      <c r="C546" s="15" t="s">
        <v>277</v>
      </c>
      <c r="D546" s="19">
        <f t="shared" si="49"/>
        <v>0</v>
      </c>
      <c r="E546" s="16" t="str">
        <f t="shared" si="50"/>
        <v>--</v>
      </c>
      <c r="F546" s="16">
        <f t="shared" si="51"/>
        <v>0</v>
      </c>
      <c r="G546" s="16" t="str">
        <f t="shared" si="52"/>
        <v>--</v>
      </c>
      <c r="H546" s="24" t="str">
        <f>IFERROR(VLOOKUP(B546,#REF!,8,FALSE),"")</f>
        <v/>
      </c>
      <c r="I546" s="17">
        <v>0</v>
      </c>
      <c r="J546" s="17">
        <v>0</v>
      </c>
      <c r="K546" s="24" t="str">
        <f>IFERROR(VLOOKUP(B546,#REF!,11,FALSE),"")</f>
        <v/>
      </c>
      <c r="L546" s="17">
        <v>0</v>
      </c>
      <c r="M546" s="6" t="s">
        <v>758</v>
      </c>
      <c r="N546" s="18" t="str">
        <f>IFERROR(VLOOKUP(B546,#REF!,13,FALSE),"")</f>
        <v/>
      </c>
      <c r="O546" s="19" t="str">
        <f>IFERROR(VLOOKUP(B546,#REF!,14,FALSE),"")</f>
        <v/>
      </c>
      <c r="P546" s="19" t="str">
        <f>IFERROR(VLOOKUP(B546,#REF!,15,FALSE),"")</f>
        <v/>
      </c>
      <c r="Q546" s="19"/>
      <c r="R546" s="25" t="str">
        <f>IFERROR(VLOOKUP(B546,#REF!,16,FALSE),"")</f>
        <v/>
      </c>
      <c r="S546" s="17">
        <v>0</v>
      </c>
      <c r="T546" s="17">
        <v>0</v>
      </c>
      <c r="U546" s="17">
        <v>0</v>
      </c>
      <c r="V546" s="17">
        <v>0</v>
      </c>
      <c r="W546" s="20">
        <v>0</v>
      </c>
      <c r="X546" s="16">
        <v>0</v>
      </c>
      <c r="Y546" s="21" t="s">
        <v>40</v>
      </c>
      <c r="Z546" s="20">
        <v>33</v>
      </c>
      <c r="AA546" s="17" t="s">
        <v>40</v>
      </c>
      <c r="AB546" s="22" t="s">
        <v>41</v>
      </c>
      <c r="AC546" s="23" t="str">
        <f t="shared" si="53"/>
        <v>E</v>
      </c>
      <c r="AD546" s="17">
        <v>0</v>
      </c>
      <c r="AE546" s="17">
        <v>0</v>
      </c>
      <c r="AF546" s="17">
        <v>0</v>
      </c>
      <c r="AG546" s="17">
        <v>0</v>
      </c>
      <c r="AH546" s="15" t="s">
        <v>42</v>
      </c>
    </row>
    <row r="547" spans="1:34">
      <c r="A547" s="13" t="str">
        <f t="shared" si="48"/>
        <v>Normal</v>
      </c>
      <c r="B547" s="14" t="s">
        <v>538</v>
      </c>
      <c r="C547" s="15" t="s">
        <v>277</v>
      </c>
      <c r="D547" s="19">
        <f t="shared" si="49"/>
        <v>0</v>
      </c>
      <c r="E547" s="16" t="str">
        <f t="shared" si="50"/>
        <v>--</v>
      </c>
      <c r="F547" s="16">
        <f t="shared" si="51"/>
        <v>0</v>
      </c>
      <c r="G547" s="16" t="str">
        <f t="shared" si="52"/>
        <v>--</v>
      </c>
      <c r="H547" s="24" t="str">
        <f>IFERROR(VLOOKUP(B547,#REF!,8,FALSE),"")</f>
        <v/>
      </c>
      <c r="I547" s="17">
        <v>0</v>
      </c>
      <c r="J547" s="17">
        <v>0</v>
      </c>
      <c r="K547" s="24" t="str">
        <f>IFERROR(VLOOKUP(B547,#REF!,11,FALSE),"")</f>
        <v/>
      </c>
      <c r="L547" s="17">
        <v>0</v>
      </c>
      <c r="M547" s="6" t="s">
        <v>760</v>
      </c>
      <c r="N547" s="18" t="str">
        <f>IFERROR(VLOOKUP(B547,#REF!,13,FALSE),"")</f>
        <v/>
      </c>
      <c r="O547" s="19" t="str">
        <f>IFERROR(VLOOKUP(B547,#REF!,14,FALSE),"")</f>
        <v/>
      </c>
      <c r="P547" s="19" t="str">
        <f>IFERROR(VLOOKUP(B547,#REF!,15,FALSE),"")</f>
        <v/>
      </c>
      <c r="Q547" s="19"/>
      <c r="R547" s="25" t="str">
        <f>IFERROR(VLOOKUP(B547,#REF!,16,FALSE),"")</f>
        <v/>
      </c>
      <c r="S547" s="17">
        <v>0</v>
      </c>
      <c r="T547" s="17">
        <v>0</v>
      </c>
      <c r="U547" s="17">
        <v>0</v>
      </c>
      <c r="V547" s="17">
        <v>0</v>
      </c>
      <c r="W547" s="20">
        <v>0</v>
      </c>
      <c r="X547" s="16">
        <v>0</v>
      </c>
      <c r="Y547" s="21" t="s">
        <v>40</v>
      </c>
      <c r="Z547" s="20">
        <v>61</v>
      </c>
      <c r="AA547" s="17">
        <v>0</v>
      </c>
      <c r="AB547" s="22" t="s">
        <v>41</v>
      </c>
      <c r="AC547" s="23" t="str">
        <f t="shared" si="53"/>
        <v>E</v>
      </c>
      <c r="AD547" s="17">
        <v>0</v>
      </c>
      <c r="AE547" s="17">
        <v>0</v>
      </c>
      <c r="AF547" s="17">
        <v>0</v>
      </c>
      <c r="AG547" s="17">
        <v>0</v>
      </c>
      <c r="AH547" s="15" t="s">
        <v>42</v>
      </c>
    </row>
    <row r="548" spans="1:34">
      <c r="A548" s="13" t="str">
        <f t="shared" si="48"/>
        <v>OverStock</v>
      </c>
      <c r="B548" s="14" t="s">
        <v>539</v>
      </c>
      <c r="C548" s="15" t="s">
        <v>277</v>
      </c>
      <c r="D548" s="19">
        <f t="shared" si="49"/>
        <v>18</v>
      </c>
      <c r="E548" s="16">
        <f t="shared" si="50"/>
        <v>9</v>
      </c>
      <c r="F548" s="16">
        <f t="shared" si="51"/>
        <v>0</v>
      </c>
      <c r="G548" s="16">
        <f t="shared" si="52"/>
        <v>0</v>
      </c>
      <c r="H548" s="24" t="str">
        <f>IFERROR(VLOOKUP(B548,#REF!,8,FALSE),"")</f>
        <v/>
      </c>
      <c r="I548" s="17">
        <v>0</v>
      </c>
      <c r="J548" s="17">
        <v>0</v>
      </c>
      <c r="K548" s="24" t="str">
        <f>IFERROR(VLOOKUP(B548,#REF!,11,FALSE),"")</f>
        <v/>
      </c>
      <c r="L548" s="17">
        <v>4410</v>
      </c>
      <c r="M548" s="6" t="s">
        <v>758</v>
      </c>
      <c r="N548" s="18" t="str">
        <f>IFERROR(VLOOKUP(B548,#REF!,13,FALSE),"")</f>
        <v/>
      </c>
      <c r="O548" s="19" t="str">
        <f>IFERROR(VLOOKUP(B548,#REF!,14,FALSE),"")</f>
        <v/>
      </c>
      <c r="P548" s="19" t="str">
        <f>IFERROR(VLOOKUP(B548,#REF!,15,FALSE),"")</f>
        <v/>
      </c>
      <c r="Q548" s="19"/>
      <c r="R548" s="25" t="str">
        <f>IFERROR(VLOOKUP(B548,#REF!,16,FALSE),"")</f>
        <v/>
      </c>
      <c r="S548" s="17">
        <v>0</v>
      </c>
      <c r="T548" s="17">
        <v>4410</v>
      </c>
      <c r="U548" s="17">
        <v>0</v>
      </c>
      <c r="V548" s="17">
        <v>0</v>
      </c>
      <c r="W548" s="20">
        <v>4410</v>
      </c>
      <c r="X548" s="16">
        <v>18</v>
      </c>
      <c r="Y548" s="21">
        <v>9</v>
      </c>
      <c r="Z548" s="20">
        <v>245</v>
      </c>
      <c r="AA548" s="17">
        <v>490</v>
      </c>
      <c r="AB548" s="22">
        <v>2</v>
      </c>
      <c r="AC548" s="23">
        <f t="shared" si="53"/>
        <v>150</v>
      </c>
      <c r="AD548" s="17">
        <v>1470</v>
      </c>
      <c r="AE548" s="17">
        <v>2450</v>
      </c>
      <c r="AF548" s="17">
        <v>490</v>
      </c>
      <c r="AG548" s="17">
        <v>0</v>
      </c>
      <c r="AH548" s="15" t="s">
        <v>42</v>
      </c>
    </row>
    <row r="549" spans="1:34">
      <c r="A549" s="13" t="str">
        <f t="shared" si="48"/>
        <v>Normal</v>
      </c>
      <c r="B549" s="14" t="s">
        <v>540</v>
      </c>
      <c r="C549" s="15" t="s">
        <v>277</v>
      </c>
      <c r="D549" s="19">
        <f t="shared" si="49"/>
        <v>8</v>
      </c>
      <c r="E549" s="16">
        <f t="shared" si="50"/>
        <v>4.5</v>
      </c>
      <c r="F549" s="16">
        <f t="shared" si="51"/>
        <v>7</v>
      </c>
      <c r="G549" s="16">
        <f t="shared" si="52"/>
        <v>3.9</v>
      </c>
      <c r="H549" s="24" t="str">
        <f>IFERROR(VLOOKUP(B549,#REF!,8,FALSE),"")</f>
        <v/>
      </c>
      <c r="I549" s="17">
        <v>1750</v>
      </c>
      <c r="J549" s="17">
        <v>1750</v>
      </c>
      <c r="K549" s="24" t="str">
        <f>IFERROR(VLOOKUP(B549,#REF!,11,FALSE),"")</f>
        <v/>
      </c>
      <c r="L549" s="17">
        <v>2000</v>
      </c>
      <c r="M549" s="6" t="s">
        <v>758</v>
      </c>
      <c r="N549" s="18" t="str">
        <f>IFERROR(VLOOKUP(B549,#REF!,13,FALSE),"")</f>
        <v/>
      </c>
      <c r="O549" s="19" t="str">
        <f>IFERROR(VLOOKUP(B549,#REF!,14,FALSE),"")</f>
        <v/>
      </c>
      <c r="P549" s="19" t="str">
        <f>IFERROR(VLOOKUP(B549,#REF!,15,FALSE),"")</f>
        <v/>
      </c>
      <c r="Q549" s="19"/>
      <c r="R549" s="25" t="str">
        <f>IFERROR(VLOOKUP(B549,#REF!,16,FALSE),"")</f>
        <v/>
      </c>
      <c r="S549" s="17">
        <v>0</v>
      </c>
      <c r="T549" s="17">
        <v>2000</v>
      </c>
      <c r="U549" s="17">
        <v>0</v>
      </c>
      <c r="V549" s="17">
        <v>0</v>
      </c>
      <c r="W549" s="20">
        <v>3750</v>
      </c>
      <c r="X549" s="16">
        <v>15</v>
      </c>
      <c r="Y549" s="21">
        <v>8.4</v>
      </c>
      <c r="Z549" s="20">
        <v>250</v>
      </c>
      <c r="AA549" s="17">
        <v>444</v>
      </c>
      <c r="AB549" s="22">
        <v>1.8</v>
      </c>
      <c r="AC549" s="23">
        <f t="shared" si="53"/>
        <v>100</v>
      </c>
      <c r="AD549" s="17">
        <v>1250</v>
      </c>
      <c r="AE549" s="17">
        <v>500</v>
      </c>
      <c r="AF549" s="17">
        <v>2250</v>
      </c>
      <c r="AG549" s="17">
        <v>0</v>
      </c>
      <c r="AH549" s="15" t="s">
        <v>42</v>
      </c>
    </row>
    <row r="550" spans="1:34">
      <c r="A550" s="13" t="str">
        <f t="shared" si="48"/>
        <v>OverStock</v>
      </c>
      <c r="B550" s="14" t="s">
        <v>541</v>
      </c>
      <c r="C550" s="15" t="s">
        <v>277</v>
      </c>
      <c r="D550" s="19">
        <f t="shared" si="49"/>
        <v>2.7</v>
      </c>
      <c r="E550" s="16">
        <f t="shared" si="50"/>
        <v>1.3</v>
      </c>
      <c r="F550" s="16">
        <f t="shared" si="51"/>
        <v>17.3</v>
      </c>
      <c r="G550" s="16">
        <f t="shared" si="52"/>
        <v>8.4</v>
      </c>
      <c r="H550" s="24" t="str">
        <f>IFERROR(VLOOKUP(B550,#REF!,8,FALSE),"")</f>
        <v/>
      </c>
      <c r="I550" s="17">
        <v>3250</v>
      </c>
      <c r="J550" s="17">
        <v>2250</v>
      </c>
      <c r="K550" s="24" t="str">
        <f>IFERROR(VLOOKUP(B550,#REF!,11,FALSE),"")</f>
        <v/>
      </c>
      <c r="L550" s="17">
        <v>500</v>
      </c>
      <c r="M550" s="6" t="s">
        <v>758</v>
      </c>
      <c r="N550" s="18" t="str">
        <f>IFERROR(VLOOKUP(B550,#REF!,13,FALSE),"")</f>
        <v/>
      </c>
      <c r="O550" s="19" t="str">
        <f>IFERROR(VLOOKUP(B550,#REF!,14,FALSE),"")</f>
        <v/>
      </c>
      <c r="P550" s="19" t="str">
        <f>IFERROR(VLOOKUP(B550,#REF!,15,FALSE),"")</f>
        <v/>
      </c>
      <c r="Q550" s="19"/>
      <c r="R550" s="25" t="str">
        <f>IFERROR(VLOOKUP(B550,#REF!,16,FALSE),"")</f>
        <v/>
      </c>
      <c r="S550" s="17">
        <v>0</v>
      </c>
      <c r="T550" s="17">
        <v>500</v>
      </c>
      <c r="U550" s="17">
        <v>0</v>
      </c>
      <c r="V550" s="17">
        <v>0</v>
      </c>
      <c r="W550" s="20">
        <v>3750</v>
      </c>
      <c r="X550" s="16">
        <v>19.899999999999999</v>
      </c>
      <c r="Y550" s="21">
        <v>9.6</v>
      </c>
      <c r="Z550" s="20">
        <v>188</v>
      </c>
      <c r="AA550" s="17">
        <v>389</v>
      </c>
      <c r="AB550" s="22">
        <v>2.1</v>
      </c>
      <c r="AC550" s="23">
        <f t="shared" si="53"/>
        <v>150</v>
      </c>
      <c r="AD550" s="17">
        <v>500</v>
      </c>
      <c r="AE550" s="17">
        <v>0</v>
      </c>
      <c r="AF550" s="17">
        <v>3000</v>
      </c>
      <c r="AG550" s="17">
        <v>0</v>
      </c>
      <c r="AH550" s="15" t="s">
        <v>42</v>
      </c>
    </row>
    <row r="551" spans="1:34">
      <c r="A551" s="13" t="str">
        <f t="shared" si="48"/>
        <v>Normal</v>
      </c>
      <c r="B551" s="14" t="s">
        <v>544</v>
      </c>
      <c r="C551" s="15" t="s">
        <v>269</v>
      </c>
      <c r="D551" s="19">
        <f t="shared" si="49"/>
        <v>3.6</v>
      </c>
      <c r="E551" s="16">
        <f t="shared" si="50"/>
        <v>4</v>
      </c>
      <c r="F551" s="16">
        <f t="shared" si="51"/>
        <v>0</v>
      </c>
      <c r="G551" s="16">
        <f t="shared" si="52"/>
        <v>0</v>
      </c>
      <c r="H551" s="24" t="str">
        <f>IFERROR(VLOOKUP(B551,#REF!,8,FALSE),"")</f>
        <v/>
      </c>
      <c r="I551" s="17">
        <v>0</v>
      </c>
      <c r="J551" s="17">
        <v>0</v>
      </c>
      <c r="K551" s="24" t="str">
        <f>IFERROR(VLOOKUP(B551,#REF!,11,FALSE),"")</f>
        <v/>
      </c>
      <c r="L551" s="17">
        <v>6000</v>
      </c>
      <c r="M551" s="6" t="s">
        <v>748</v>
      </c>
      <c r="N551" s="18" t="str">
        <f>IFERROR(VLOOKUP(B551,#REF!,13,FALSE),"")</f>
        <v/>
      </c>
      <c r="O551" s="19" t="str">
        <f>IFERROR(VLOOKUP(B551,#REF!,14,FALSE),"")</f>
        <v/>
      </c>
      <c r="P551" s="19" t="str">
        <f>IFERROR(VLOOKUP(B551,#REF!,15,FALSE),"")</f>
        <v/>
      </c>
      <c r="Q551" s="19"/>
      <c r="R551" s="25" t="str">
        <f>IFERROR(VLOOKUP(B551,#REF!,16,FALSE),"")</f>
        <v/>
      </c>
      <c r="S551" s="17">
        <v>0</v>
      </c>
      <c r="T551" s="17">
        <v>6000</v>
      </c>
      <c r="U551" s="17">
        <v>0</v>
      </c>
      <c r="V551" s="17">
        <v>0</v>
      </c>
      <c r="W551" s="20">
        <v>6000</v>
      </c>
      <c r="X551" s="16">
        <v>3.6</v>
      </c>
      <c r="Y551" s="21">
        <v>4</v>
      </c>
      <c r="Z551" s="20">
        <v>1688</v>
      </c>
      <c r="AA551" s="17">
        <v>1500</v>
      </c>
      <c r="AB551" s="22">
        <v>0.9</v>
      </c>
      <c r="AC551" s="23">
        <f t="shared" si="53"/>
        <v>100</v>
      </c>
      <c r="AD551" s="17">
        <v>0</v>
      </c>
      <c r="AE551" s="17">
        <v>13500</v>
      </c>
      <c r="AF551" s="17">
        <v>0</v>
      </c>
      <c r="AG551" s="17">
        <v>0</v>
      </c>
      <c r="AH551" s="15" t="s">
        <v>42</v>
      </c>
    </row>
    <row r="552" spans="1:34">
      <c r="A552" s="13" t="str">
        <f t="shared" si="48"/>
        <v>Normal</v>
      </c>
      <c r="B552" s="14" t="s">
        <v>546</v>
      </c>
      <c r="C552" s="15" t="s">
        <v>269</v>
      </c>
      <c r="D552" s="19">
        <f t="shared" si="49"/>
        <v>10.6</v>
      </c>
      <c r="E552" s="16">
        <f t="shared" si="50"/>
        <v>6</v>
      </c>
      <c r="F552" s="16">
        <f t="shared" si="51"/>
        <v>0</v>
      </c>
      <c r="G552" s="16">
        <f t="shared" si="52"/>
        <v>0</v>
      </c>
      <c r="H552" s="24" t="str">
        <f>IFERROR(VLOOKUP(B552,#REF!,8,FALSE),"")</f>
        <v/>
      </c>
      <c r="I552" s="17">
        <v>0</v>
      </c>
      <c r="J552" s="17">
        <v>0</v>
      </c>
      <c r="K552" s="24" t="str">
        <f>IFERROR(VLOOKUP(B552,#REF!,11,FALSE),"")</f>
        <v/>
      </c>
      <c r="L552" s="17">
        <v>2000</v>
      </c>
      <c r="M552" s="6" t="s">
        <v>748</v>
      </c>
      <c r="N552" s="18" t="str">
        <f>IFERROR(VLOOKUP(B552,#REF!,13,FALSE),"")</f>
        <v/>
      </c>
      <c r="O552" s="19" t="str">
        <f>IFERROR(VLOOKUP(B552,#REF!,14,FALSE),"")</f>
        <v/>
      </c>
      <c r="P552" s="19" t="str">
        <f>IFERROR(VLOOKUP(B552,#REF!,15,FALSE),"")</f>
        <v/>
      </c>
      <c r="Q552" s="19"/>
      <c r="R552" s="25" t="str">
        <f>IFERROR(VLOOKUP(B552,#REF!,16,FALSE),"")</f>
        <v/>
      </c>
      <c r="S552" s="17">
        <v>0</v>
      </c>
      <c r="T552" s="17">
        <v>2000</v>
      </c>
      <c r="U552" s="17">
        <v>0</v>
      </c>
      <c r="V552" s="17">
        <v>0</v>
      </c>
      <c r="W552" s="20">
        <v>2000</v>
      </c>
      <c r="X552" s="16">
        <v>10.6</v>
      </c>
      <c r="Y552" s="21">
        <v>6</v>
      </c>
      <c r="Z552" s="20">
        <v>188</v>
      </c>
      <c r="AA552" s="17">
        <v>333</v>
      </c>
      <c r="AB552" s="22">
        <v>1.8</v>
      </c>
      <c r="AC552" s="23">
        <f t="shared" si="53"/>
        <v>100</v>
      </c>
      <c r="AD552" s="17">
        <v>0</v>
      </c>
      <c r="AE552" s="17">
        <v>3000</v>
      </c>
      <c r="AF552" s="17">
        <v>0</v>
      </c>
      <c r="AG552" s="17">
        <v>0</v>
      </c>
      <c r="AH552" s="15" t="s">
        <v>42</v>
      </c>
    </row>
    <row r="553" spans="1:34">
      <c r="A553" s="13" t="str">
        <f t="shared" si="48"/>
        <v>OverStock</v>
      </c>
      <c r="B553" s="14" t="s">
        <v>547</v>
      </c>
      <c r="C553" s="15" t="s">
        <v>269</v>
      </c>
      <c r="D553" s="19">
        <f t="shared" si="49"/>
        <v>5.2</v>
      </c>
      <c r="E553" s="16">
        <f t="shared" si="50"/>
        <v>3.3</v>
      </c>
      <c r="F553" s="16">
        <f t="shared" si="51"/>
        <v>15.1</v>
      </c>
      <c r="G553" s="16">
        <f t="shared" si="52"/>
        <v>9.6999999999999993</v>
      </c>
      <c r="H553" s="24" t="str">
        <f>IFERROR(VLOOKUP(B553,#REF!,8,FALSE),"")</f>
        <v/>
      </c>
      <c r="I553" s="17">
        <v>270000</v>
      </c>
      <c r="J553" s="17">
        <v>0</v>
      </c>
      <c r="K553" s="24" t="str">
        <f>IFERROR(VLOOKUP(B553,#REF!,11,FALSE),"")</f>
        <v/>
      </c>
      <c r="L553" s="17">
        <v>93000</v>
      </c>
      <c r="M553" s="6" t="s">
        <v>748</v>
      </c>
      <c r="N553" s="18" t="str">
        <f>IFERROR(VLOOKUP(B553,#REF!,13,FALSE),"")</f>
        <v/>
      </c>
      <c r="O553" s="19" t="str">
        <f>IFERROR(VLOOKUP(B553,#REF!,14,FALSE),"")</f>
        <v/>
      </c>
      <c r="P553" s="19" t="str">
        <f>IFERROR(VLOOKUP(B553,#REF!,15,FALSE),"")</f>
        <v/>
      </c>
      <c r="Q553" s="19"/>
      <c r="R553" s="25" t="str">
        <f>IFERROR(VLOOKUP(B553,#REF!,16,FALSE),"")</f>
        <v/>
      </c>
      <c r="S553" s="17">
        <v>0</v>
      </c>
      <c r="T553" s="17">
        <v>93000</v>
      </c>
      <c r="U553" s="17">
        <v>0</v>
      </c>
      <c r="V553" s="17">
        <v>0</v>
      </c>
      <c r="W553" s="20">
        <v>363000</v>
      </c>
      <c r="X553" s="16">
        <v>20.3</v>
      </c>
      <c r="Y553" s="21">
        <v>13</v>
      </c>
      <c r="Z553" s="20">
        <v>17875</v>
      </c>
      <c r="AA553" s="17">
        <v>27889</v>
      </c>
      <c r="AB553" s="22">
        <v>1.6</v>
      </c>
      <c r="AC553" s="23">
        <f t="shared" si="53"/>
        <v>100</v>
      </c>
      <c r="AD553" s="17">
        <v>0</v>
      </c>
      <c r="AE553" s="17">
        <v>251000</v>
      </c>
      <c r="AF553" s="17">
        <v>0</v>
      </c>
      <c r="AG553" s="17">
        <v>0</v>
      </c>
      <c r="AH553" s="15" t="s">
        <v>42</v>
      </c>
    </row>
    <row r="554" spans="1:34">
      <c r="A554" s="13" t="str">
        <f t="shared" si="48"/>
        <v>OverStock</v>
      </c>
      <c r="B554" s="14" t="s">
        <v>548</v>
      </c>
      <c r="C554" s="15" t="s">
        <v>269</v>
      </c>
      <c r="D554" s="19">
        <f t="shared" si="49"/>
        <v>16.8</v>
      </c>
      <c r="E554" s="16" t="str">
        <f t="shared" si="50"/>
        <v>--</v>
      </c>
      <c r="F554" s="16">
        <f t="shared" si="51"/>
        <v>0</v>
      </c>
      <c r="G554" s="16" t="str">
        <f t="shared" si="52"/>
        <v>--</v>
      </c>
      <c r="H554" s="24" t="str">
        <f>IFERROR(VLOOKUP(B554,#REF!,8,FALSE),"")</f>
        <v/>
      </c>
      <c r="I554" s="17">
        <v>0</v>
      </c>
      <c r="J554" s="17">
        <v>0</v>
      </c>
      <c r="K554" s="24" t="str">
        <f>IFERROR(VLOOKUP(B554,#REF!,11,FALSE),"")</f>
        <v/>
      </c>
      <c r="L554" s="17">
        <v>96690</v>
      </c>
      <c r="M554" s="6" t="s">
        <v>748</v>
      </c>
      <c r="N554" s="18" t="str">
        <f>IFERROR(VLOOKUP(B554,#REF!,13,FALSE),"")</f>
        <v/>
      </c>
      <c r="O554" s="19" t="str">
        <f>IFERROR(VLOOKUP(B554,#REF!,14,FALSE),"")</f>
        <v/>
      </c>
      <c r="P554" s="19" t="str">
        <f>IFERROR(VLOOKUP(B554,#REF!,15,FALSE),"")</f>
        <v/>
      </c>
      <c r="Q554" s="19"/>
      <c r="R554" s="25" t="str">
        <f>IFERROR(VLOOKUP(B554,#REF!,16,FALSE),"")</f>
        <v/>
      </c>
      <c r="S554" s="17">
        <v>0</v>
      </c>
      <c r="T554" s="17">
        <v>96690</v>
      </c>
      <c r="U554" s="17">
        <v>0</v>
      </c>
      <c r="V554" s="17">
        <v>0</v>
      </c>
      <c r="W554" s="20">
        <v>96690</v>
      </c>
      <c r="X554" s="16">
        <v>16.8</v>
      </c>
      <c r="Y554" s="21" t="s">
        <v>40</v>
      </c>
      <c r="Z554" s="20">
        <v>5750</v>
      </c>
      <c r="AA554" s="17" t="s">
        <v>40</v>
      </c>
      <c r="AB554" s="22" t="s">
        <v>41</v>
      </c>
      <c r="AC554" s="23" t="str">
        <f t="shared" si="53"/>
        <v>E</v>
      </c>
      <c r="AD554" s="17">
        <v>0</v>
      </c>
      <c r="AE554" s="17">
        <v>0</v>
      </c>
      <c r="AF554" s="17">
        <v>0</v>
      </c>
      <c r="AG554" s="17">
        <v>0</v>
      </c>
      <c r="AH554" s="15" t="s">
        <v>42</v>
      </c>
    </row>
    <row r="555" spans="1:34">
      <c r="A555" s="13" t="str">
        <f t="shared" si="48"/>
        <v>ZeroZero</v>
      </c>
      <c r="B555" s="14" t="s">
        <v>549</v>
      </c>
      <c r="C555" s="15" t="s">
        <v>269</v>
      </c>
      <c r="D555" s="19" t="str">
        <f t="shared" si="49"/>
        <v>前八週無拉料</v>
      </c>
      <c r="E555" s="16" t="str">
        <f t="shared" si="50"/>
        <v>--</v>
      </c>
      <c r="F555" s="16" t="str">
        <f t="shared" si="51"/>
        <v>--</v>
      </c>
      <c r="G555" s="16" t="str">
        <f t="shared" si="52"/>
        <v>--</v>
      </c>
      <c r="H555" s="24" t="str">
        <f>IFERROR(VLOOKUP(B555,#REF!,8,FALSE),"")</f>
        <v/>
      </c>
      <c r="I555" s="17">
        <v>4000</v>
      </c>
      <c r="J555" s="17">
        <v>4000</v>
      </c>
      <c r="K555" s="24" t="str">
        <f>IFERROR(VLOOKUP(B555,#REF!,11,FALSE),"")</f>
        <v/>
      </c>
      <c r="L555" s="17">
        <v>0</v>
      </c>
      <c r="M555" s="6" t="s">
        <v>747</v>
      </c>
      <c r="N555" s="18" t="str">
        <f>IFERROR(VLOOKUP(B555,#REF!,13,FALSE),"")</f>
        <v/>
      </c>
      <c r="O555" s="19" t="str">
        <f>IFERROR(VLOOKUP(B555,#REF!,14,FALSE),"")</f>
        <v/>
      </c>
      <c r="P555" s="19" t="str">
        <f>IFERROR(VLOOKUP(B555,#REF!,15,FALSE),"")</f>
        <v/>
      </c>
      <c r="Q555" s="19"/>
      <c r="R555" s="25" t="str">
        <f>IFERROR(VLOOKUP(B555,#REF!,16,FALSE),"")</f>
        <v/>
      </c>
      <c r="S555" s="17">
        <v>0</v>
      </c>
      <c r="T555" s="17">
        <v>0</v>
      </c>
      <c r="U555" s="17">
        <v>0</v>
      </c>
      <c r="V555" s="17">
        <v>0</v>
      </c>
      <c r="W555" s="20">
        <v>4000</v>
      </c>
      <c r="X555" s="16" t="s">
        <v>40</v>
      </c>
      <c r="Y555" s="21" t="s">
        <v>40</v>
      </c>
      <c r="Z555" s="20">
        <v>0</v>
      </c>
      <c r="AA555" s="17" t="s">
        <v>40</v>
      </c>
      <c r="AB555" s="22" t="s">
        <v>41</v>
      </c>
      <c r="AC555" s="23" t="str">
        <f t="shared" si="53"/>
        <v>E</v>
      </c>
      <c r="AD555" s="17">
        <v>0</v>
      </c>
      <c r="AE555" s="17">
        <v>0</v>
      </c>
      <c r="AF555" s="17">
        <v>0</v>
      </c>
      <c r="AG555" s="17">
        <v>0</v>
      </c>
      <c r="AH555" s="15" t="s">
        <v>42</v>
      </c>
    </row>
    <row r="556" spans="1:34">
      <c r="A556" s="13" t="str">
        <f t="shared" si="48"/>
        <v>Normal</v>
      </c>
      <c r="B556" s="14" t="s">
        <v>550</v>
      </c>
      <c r="C556" s="15" t="s">
        <v>269</v>
      </c>
      <c r="D556" s="19">
        <f t="shared" si="49"/>
        <v>2.2999999999999998</v>
      </c>
      <c r="E556" s="16">
        <f t="shared" si="50"/>
        <v>2.5</v>
      </c>
      <c r="F556" s="16">
        <f t="shared" si="51"/>
        <v>9.5</v>
      </c>
      <c r="G556" s="16">
        <f t="shared" si="52"/>
        <v>10.1</v>
      </c>
      <c r="H556" s="24" t="str">
        <f>IFERROR(VLOOKUP(B556,#REF!,8,FALSE),"")</f>
        <v/>
      </c>
      <c r="I556" s="17">
        <v>90000</v>
      </c>
      <c r="J556" s="17">
        <v>90000</v>
      </c>
      <c r="K556" s="24" t="str">
        <f>IFERROR(VLOOKUP(B556,#REF!,11,FALSE),"")</f>
        <v/>
      </c>
      <c r="L556" s="17">
        <v>22000</v>
      </c>
      <c r="M556" s="6" t="s">
        <v>748</v>
      </c>
      <c r="N556" s="18" t="str">
        <f>IFERROR(VLOOKUP(B556,#REF!,13,FALSE),"")</f>
        <v/>
      </c>
      <c r="O556" s="19" t="str">
        <f>IFERROR(VLOOKUP(B556,#REF!,14,FALSE),"")</f>
        <v/>
      </c>
      <c r="P556" s="19" t="str">
        <f>IFERROR(VLOOKUP(B556,#REF!,15,FALSE),"")</f>
        <v/>
      </c>
      <c r="Q556" s="19"/>
      <c r="R556" s="25" t="str">
        <f>IFERROR(VLOOKUP(B556,#REF!,16,FALSE),"")</f>
        <v/>
      </c>
      <c r="S556" s="17">
        <v>0</v>
      </c>
      <c r="T556" s="17">
        <v>22000</v>
      </c>
      <c r="U556" s="17">
        <v>0</v>
      </c>
      <c r="V556" s="17">
        <v>0</v>
      </c>
      <c r="W556" s="20">
        <v>112000</v>
      </c>
      <c r="X556" s="16">
        <v>11.8</v>
      </c>
      <c r="Y556" s="21">
        <v>12.6</v>
      </c>
      <c r="Z556" s="20">
        <v>9500</v>
      </c>
      <c r="AA556" s="17">
        <v>8889</v>
      </c>
      <c r="AB556" s="22">
        <v>0.9</v>
      </c>
      <c r="AC556" s="23">
        <f t="shared" si="53"/>
        <v>100</v>
      </c>
      <c r="AD556" s="17">
        <v>0</v>
      </c>
      <c r="AE556" s="17">
        <v>80000</v>
      </c>
      <c r="AF556" s="17">
        <v>0</v>
      </c>
      <c r="AG556" s="17">
        <v>0</v>
      </c>
      <c r="AH556" s="15" t="s">
        <v>42</v>
      </c>
    </row>
    <row r="557" spans="1:34">
      <c r="A557" s="13" t="str">
        <f t="shared" si="48"/>
        <v>Normal</v>
      </c>
      <c r="B557" s="14" t="s">
        <v>551</v>
      </c>
      <c r="C557" s="15" t="s">
        <v>277</v>
      </c>
      <c r="D557" s="19">
        <f t="shared" si="49"/>
        <v>12.2</v>
      </c>
      <c r="E557" s="16">
        <f t="shared" si="50"/>
        <v>10.1</v>
      </c>
      <c r="F557" s="16">
        <f t="shared" si="51"/>
        <v>1.1000000000000001</v>
      </c>
      <c r="G557" s="16">
        <f t="shared" si="52"/>
        <v>0.9</v>
      </c>
      <c r="H557" s="24" t="str">
        <f>IFERROR(VLOOKUP(B557,#REF!,8,FALSE),"")</f>
        <v/>
      </c>
      <c r="I557" s="17">
        <v>2500</v>
      </c>
      <c r="J557" s="17">
        <v>2500</v>
      </c>
      <c r="K557" s="24" t="str">
        <f>IFERROR(VLOOKUP(B557,#REF!,11,FALSE),"")</f>
        <v/>
      </c>
      <c r="L557" s="17">
        <v>27500</v>
      </c>
      <c r="M557" s="6" t="s">
        <v>758</v>
      </c>
      <c r="N557" s="18" t="str">
        <f>IFERROR(VLOOKUP(B557,#REF!,13,FALSE),"")</f>
        <v/>
      </c>
      <c r="O557" s="19" t="str">
        <f>IFERROR(VLOOKUP(B557,#REF!,14,FALSE),"")</f>
        <v/>
      </c>
      <c r="P557" s="19" t="str">
        <f>IFERROR(VLOOKUP(B557,#REF!,15,FALSE),"")</f>
        <v/>
      </c>
      <c r="Q557" s="19"/>
      <c r="R557" s="25" t="str">
        <f>IFERROR(VLOOKUP(B557,#REF!,16,FALSE),"")</f>
        <v/>
      </c>
      <c r="S557" s="17">
        <v>0</v>
      </c>
      <c r="T557" s="17">
        <v>27500</v>
      </c>
      <c r="U557" s="17">
        <v>0</v>
      </c>
      <c r="V557" s="17">
        <v>0</v>
      </c>
      <c r="W557" s="20">
        <v>30000</v>
      </c>
      <c r="X557" s="16">
        <v>13.3</v>
      </c>
      <c r="Y557" s="21">
        <v>11</v>
      </c>
      <c r="Z557" s="20">
        <v>2250</v>
      </c>
      <c r="AA557" s="17">
        <v>2722</v>
      </c>
      <c r="AB557" s="22">
        <v>1.2</v>
      </c>
      <c r="AC557" s="23">
        <f t="shared" si="53"/>
        <v>100</v>
      </c>
      <c r="AD557" s="17">
        <v>0</v>
      </c>
      <c r="AE557" s="17">
        <v>16000</v>
      </c>
      <c r="AF557" s="17">
        <v>8500</v>
      </c>
      <c r="AG557" s="17">
        <v>10000</v>
      </c>
      <c r="AH557" s="15" t="s">
        <v>42</v>
      </c>
    </row>
    <row r="558" spans="1:34">
      <c r="A558" s="13" t="str">
        <f t="shared" si="48"/>
        <v>OverStock</v>
      </c>
      <c r="B558" s="14" t="s">
        <v>552</v>
      </c>
      <c r="C558" s="15" t="s">
        <v>269</v>
      </c>
      <c r="D558" s="19">
        <f t="shared" si="49"/>
        <v>4</v>
      </c>
      <c r="E558" s="16" t="str">
        <f t="shared" si="50"/>
        <v>--</v>
      </c>
      <c r="F558" s="16">
        <f t="shared" si="51"/>
        <v>17.899999999999999</v>
      </c>
      <c r="G558" s="16" t="str">
        <f t="shared" si="52"/>
        <v>--</v>
      </c>
      <c r="H558" s="24" t="str">
        <f>IFERROR(VLOOKUP(B558,#REF!,8,FALSE),"")</f>
        <v/>
      </c>
      <c r="I558" s="17">
        <v>53690</v>
      </c>
      <c r="J558" s="17">
        <v>53690</v>
      </c>
      <c r="K558" s="24" t="str">
        <f>IFERROR(VLOOKUP(B558,#REF!,11,FALSE),"")</f>
        <v/>
      </c>
      <c r="L558" s="17">
        <v>11948</v>
      </c>
      <c r="M558" s="6" t="s">
        <v>747</v>
      </c>
      <c r="N558" s="18" t="str">
        <f>IFERROR(VLOOKUP(B558,#REF!,13,FALSE),"")</f>
        <v/>
      </c>
      <c r="O558" s="19" t="str">
        <f>IFERROR(VLOOKUP(B558,#REF!,14,FALSE),"")</f>
        <v/>
      </c>
      <c r="P558" s="19" t="str">
        <f>IFERROR(VLOOKUP(B558,#REF!,15,FALSE),"")</f>
        <v/>
      </c>
      <c r="Q558" s="19"/>
      <c r="R558" s="25" t="str">
        <f>IFERROR(VLOOKUP(B558,#REF!,16,FALSE),"")</f>
        <v/>
      </c>
      <c r="S558" s="17">
        <v>0</v>
      </c>
      <c r="T558" s="17">
        <v>11948</v>
      </c>
      <c r="U558" s="17">
        <v>0</v>
      </c>
      <c r="V558" s="17">
        <v>0</v>
      </c>
      <c r="W558" s="20">
        <v>65638</v>
      </c>
      <c r="X558" s="16">
        <v>21.9</v>
      </c>
      <c r="Y558" s="21" t="s">
        <v>40</v>
      </c>
      <c r="Z558" s="20">
        <v>3000</v>
      </c>
      <c r="AA558" s="17" t="s">
        <v>40</v>
      </c>
      <c r="AB558" s="22" t="s">
        <v>41</v>
      </c>
      <c r="AC558" s="23" t="str">
        <f t="shared" si="53"/>
        <v>E</v>
      </c>
      <c r="AD558" s="17">
        <v>0</v>
      </c>
      <c r="AE558" s="17">
        <v>0</v>
      </c>
      <c r="AF558" s="17">
        <v>0</v>
      </c>
      <c r="AG558" s="17">
        <v>0</v>
      </c>
      <c r="AH558" s="15" t="s">
        <v>42</v>
      </c>
    </row>
    <row r="559" spans="1:34">
      <c r="A559" s="13" t="str">
        <f t="shared" si="48"/>
        <v>FCST</v>
      </c>
      <c r="B559" s="14" t="s">
        <v>556</v>
      </c>
      <c r="C559" s="15" t="s">
        <v>555</v>
      </c>
      <c r="D559" s="19" t="str">
        <f t="shared" si="49"/>
        <v>前八週無拉料</v>
      </c>
      <c r="E559" s="16">
        <f t="shared" si="50"/>
        <v>9</v>
      </c>
      <c r="F559" s="16" t="str">
        <f t="shared" si="51"/>
        <v>--</v>
      </c>
      <c r="G559" s="16">
        <f t="shared" si="52"/>
        <v>0</v>
      </c>
      <c r="H559" s="24" t="str">
        <f>IFERROR(VLOOKUP(B559,#REF!,8,FALSE),"")</f>
        <v/>
      </c>
      <c r="I559" s="17">
        <v>0</v>
      </c>
      <c r="J559" s="17">
        <v>0</v>
      </c>
      <c r="K559" s="24" t="str">
        <f>IFERROR(VLOOKUP(B559,#REF!,11,FALSE),"")</f>
        <v/>
      </c>
      <c r="L559" s="17">
        <v>6000</v>
      </c>
      <c r="M559" s="6" t="s">
        <v>752</v>
      </c>
      <c r="N559" s="18" t="str">
        <f>IFERROR(VLOOKUP(B559,#REF!,13,FALSE),"")</f>
        <v/>
      </c>
      <c r="O559" s="19" t="str">
        <f>IFERROR(VLOOKUP(B559,#REF!,14,FALSE),"")</f>
        <v/>
      </c>
      <c r="P559" s="19" t="str">
        <f>IFERROR(VLOOKUP(B559,#REF!,15,FALSE),"")</f>
        <v/>
      </c>
      <c r="Q559" s="19"/>
      <c r="R559" s="25" t="str">
        <f>IFERROR(VLOOKUP(B559,#REF!,16,FALSE),"")</f>
        <v/>
      </c>
      <c r="S559" s="17">
        <v>0</v>
      </c>
      <c r="T559" s="17">
        <v>6000</v>
      </c>
      <c r="U559" s="17">
        <v>0</v>
      </c>
      <c r="V559" s="17">
        <v>0</v>
      </c>
      <c r="W559" s="20">
        <v>6000</v>
      </c>
      <c r="X559" s="16" t="s">
        <v>40</v>
      </c>
      <c r="Y559" s="21">
        <v>9</v>
      </c>
      <c r="Z559" s="20">
        <v>0</v>
      </c>
      <c r="AA559" s="17">
        <v>667</v>
      </c>
      <c r="AB559" s="22" t="s">
        <v>51</v>
      </c>
      <c r="AC559" s="23" t="str">
        <f t="shared" si="53"/>
        <v>F</v>
      </c>
      <c r="AD559" s="17">
        <v>3000</v>
      </c>
      <c r="AE559" s="17">
        <v>3000</v>
      </c>
      <c r="AF559" s="17">
        <v>0</v>
      </c>
      <c r="AG559" s="17">
        <v>0</v>
      </c>
      <c r="AH559" s="15" t="s">
        <v>42</v>
      </c>
    </row>
    <row r="560" spans="1:34">
      <c r="A560" s="13" t="str">
        <f t="shared" si="48"/>
        <v>Normal</v>
      </c>
      <c r="B560" s="14" t="s">
        <v>557</v>
      </c>
      <c r="C560" s="15" t="s">
        <v>555</v>
      </c>
      <c r="D560" s="19">
        <f t="shared" si="49"/>
        <v>5.3</v>
      </c>
      <c r="E560" s="16" t="str">
        <f t="shared" si="50"/>
        <v>--</v>
      </c>
      <c r="F560" s="16">
        <f t="shared" si="51"/>
        <v>0</v>
      </c>
      <c r="G560" s="16" t="str">
        <f t="shared" si="52"/>
        <v>--</v>
      </c>
      <c r="H560" s="24" t="str">
        <f>IFERROR(VLOOKUP(B560,#REF!,8,FALSE),"")</f>
        <v/>
      </c>
      <c r="I560" s="17">
        <v>0</v>
      </c>
      <c r="J560" s="17">
        <v>0</v>
      </c>
      <c r="K560" s="24" t="str">
        <f>IFERROR(VLOOKUP(B560,#REF!,11,FALSE),"")</f>
        <v/>
      </c>
      <c r="L560" s="17">
        <v>18000</v>
      </c>
      <c r="M560" s="6" t="s">
        <v>752</v>
      </c>
      <c r="N560" s="18" t="str">
        <f>IFERROR(VLOOKUP(B560,#REF!,13,FALSE),"")</f>
        <v/>
      </c>
      <c r="O560" s="19" t="str">
        <f>IFERROR(VLOOKUP(B560,#REF!,14,FALSE),"")</f>
        <v/>
      </c>
      <c r="P560" s="19" t="str">
        <f>IFERROR(VLOOKUP(B560,#REF!,15,FALSE),"")</f>
        <v/>
      </c>
      <c r="Q560" s="19"/>
      <c r="R560" s="25" t="str">
        <f>IFERROR(VLOOKUP(B560,#REF!,16,FALSE),"")</f>
        <v/>
      </c>
      <c r="S560" s="17">
        <v>0</v>
      </c>
      <c r="T560" s="17">
        <v>18000</v>
      </c>
      <c r="U560" s="17">
        <v>0</v>
      </c>
      <c r="V560" s="17">
        <v>0</v>
      </c>
      <c r="W560" s="20">
        <v>18000</v>
      </c>
      <c r="X560" s="16">
        <v>5.3</v>
      </c>
      <c r="Y560" s="21" t="s">
        <v>40</v>
      </c>
      <c r="Z560" s="20">
        <v>3375</v>
      </c>
      <c r="AA560" s="17" t="s">
        <v>40</v>
      </c>
      <c r="AB560" s="22" t="s">
        <v>41</v>
      </c>
      <c r="AC560" s="23" t="str">
        <f t="shared" si="53"/>
        <v>E</v>
      </c>
      <c r="AD560" s="17">
        <v>0</v>
      </c>
      <c r="AE560" s="17">
        <v>0</v>
      </c>
      <c r="AF560" s="17">
        <v>0</v>
      </c>
      <c r="AG560" s="17">
        <v>0</v>
      </c>
      <c r="AH560" s="15" t="s">
        <v>42</v>
      </c>
    </row>
    <row r="561" spans="1:34">
      <c r="A561" s="13" t="str">
        <f t="shared" si="48"/>
        <v>OverStock</v>
      </c>
      <c r="B561" s="14" t="s">
        <v>559</v>
      </c>
      <c r="C561" s="15" t="s">
        <v>555</v>
      </c>
      <c r="D561" s="19">
        <f t="shared" si="49"/>
        <v>8</v>
      </c>
      <c r="E561" s="16">
        <f t="shared" si="50"/>
        <v>10.8</v>
      </c>
      <c r="F561" s="16">
        <f t="shared" si="51"/>
        <v>18.7</v>
      </c>
      <c r="G561" s="16">
        <f t="shared" si="52"/>
        <v>25.2</v>
      </c>
      <c r="H561" s="24" t="str">
        <f>IFERROR(VLOOKUP(B561,#REF!,8,FALSE),"")</f>
        <v/>
      </c>
      <c r="I561" s="17">
        <v>42000</v>
      </c>
      <c r="J561" s="17">
        <v>42000</v>
      </c>
      <c r="K561" s="24" t="str">
        <f>IFERROR(VLOOKUP(B561,#REF!,11,FALSE),"")</f>
        <v/>
      </c>
      <c r="L561" s="17">
        <v>18000</v>
      </c>
      <c r="M561" s="6" t="s">
        <v>752</v>
      </c>
      <c r="N561" s="18" t="str">
        <f>IFERROR(VLOOKUP(B561,#REF!,13,FALSE),"")</f>
        <v/>
      </c>
      <c r="O561" s="19" t="str">
        <f>IFERROR(VLOOKUP(B561,#REF!,14,FALSE),"")</f>
        <v/>
      </c>
      <c r="P561" s="19" t="str">
        <f>IFERROR(VLOOKUP(B561,#REF!,15,FALSE),"")</f>
        <v/>
      </c>
      <c r="Q561" s="19"/>
      <c r="R561" s="25" t="str">
        <f>IFERROR(VLOOKUP(B561,#REF!,16,FALSE),"")</f>
        <v/>
      </c>
      <c r="S561" s="17">
        <v>0</v>
      </c>
      <c r="T561" s="17">
        <v>18000</v>
      </c>
      <c r="U561" s="17">
        <v>0</v>
      </c>
      <c r="V561" s="17">
        <v>0</v>
      </c>
      <c r="W561" s="20">
        <v>60000</v>
      </c>
      <c r="X561" s="16">
        <v>26.7</v>
      </c>
      <c r="Y561" s="21">
        <v>36</v>
      </c>
      <c r="Z561" s="20">
        <v>2250</v>
      </c>
      <c r="AA561" s="17">
        <v>1667</v>
      </c>
      <c r="AB561" s="22">
        <v>0.7</v>
      </c>
      <c r="AC561" s="23">
        <f t="shared" si="53"/>
        <v>100</v>
      </c>
      <c r="AD561" s="17">
        <v>0</v>
      </c>
      <c r="AE561" s="17">
        <v>12000</v>
      </c>
      <c r="AF561" s="17">
        <v>3000</v>
      </c>
      <c r="AG561" s="17">
        <v>0</v>
      </c>
      <c r="AH561" s="15" t="s">
        <v>42</v>
      </c>
    </row>
    <row r="562" spans="1:34">
      <c r="A562" s="13" t="str">
        <f t="shared" si="48"/>
        <v>OverStock</v>
      </c>
      <c r="B562" s="14" t="s">
        <v>560</v>
      </c>
      <c r="C562" s="15" t="s">
        <v>555</v>
      </c>
      <c r="D562" s="19">
        <f t="shared" si="49"/>
        <v>21.7</v>
      </c>
      <c r="E562" s="16">
        <f t="shared" si="50"/>
        <v>34.200000000000003</v>
      </c>
      <c r="F562" s="16">
        <f t="shared" si="51"/>
        <v>0</v>
      </c>
      <c r="G562" s="16">
        <f t="shared" si="52"/>
        <v>0</v>
      </c>
      <c r="H562" s="24" t="str">
        <f>IFERROR(VLOOKUP(B562,#REF!,8,FALSE),"")</f>
        <v/>
      </c>
      <c r="I562" s="17">
        <v>0</v>
      </c>
      <c r="J562" s="17">
        <v>0</v>
      </c>
      <c r="K562" s="24" t="str">
        <f>IFERROR(VLOOKUP(B562,#REF!,11,FALSE),"")</f>
        <v/>
      </c>
      <c r="L562" s="17">
        <v>57000</v>
      </c>
      <c r="M562" s="6" t="s">
        <v>752</v>
      </c>
      <c r="N562" s="18" t="str">
        <f>IFERROR(VLOOKUP(B562,#REF!,13,FALSE),"")</f>
        <v/>
      </c>
      <c r="O562" s="19" t="str">
        <f>IFERROR(VLOOKUP(B562,#REF!,14,FALSE),"")</f>
        <v/>
      </c>
      <c r="P562" s="19" t="str">
        <f>IFERROR(VLOOKUP(B562,#REF!,15,FALSE),"")</f>
        <v/>
      </c>
      <c r="Q562" s="19"/>
      <c r="R562" s="25" t="str">
        <f>IFERROR(VLOOKUP(B562,#REF!,16,FALSE),"")</f>
        <v/>
      </c>
      <c r="S562" s="17">
        <v>0</v>
      </c>
      <c r="T562" s="17">
        <v>57000</v>
      </c>
      <c r="U562" s="17">
        <v>0</v>
      </c>
      <c r="V562" s="17">
        <v>0</v>
      </c>
      <c r="W562" s="20">
        <v>57000</v>
      </c>
      <c r="X562" s="16">
        <v>21.7</v>
      </c>
      <c r="Y562" s="21">
        <v>34.200000000000003</v>
      </c>
      <c r="Z562" s="20">
        <v>2625</v>
      </c>
      <c r="AA562" s="17">
        <v>1667</v>
      </c>
      <c r="AB562" s="22">
        <v>0.6</v>
      </c>
      <c r="AC562" s="23">
        <f t="shared" si="53"/>
        <v>100</v>
      </c>
      <c r="AD562" s="17">
        <v>0</v>
      </c>
      <c r="AE562" s="17">
        <v>9000</v>
      </c>
      <c r="AF562" s="17">
        <v>6000</v>
      </c>
      <c r="AG562" s="17">
        <v>0</v>
      </c>
      <c r="AH562" s="15" t="s">
        <v>42</v>
      </c>
    </row>
    <row r="563" spans="1:34">
      <c r="A563" s="13" t="str">
        <f t="shared" si="48"/>
        <v>ZeroZero</v>
      </c>
      <c r="B563" s="14" t="s">
        <v>564</v>
      </c>
      <c r="C563" s="15" t="s">
        <v>555</v>
      </c>
      <c r="D563" s="19" t="str">
        <f t="shared" si="49"/>
        <v>前八週無拉料</v>
      </c>
      <c r="E563" s="16" t="str">
        <f t="shared" si="50"/>
        <v>--</v>
      </c>
      <c r="F563" s="16" t="str">
        <f t="shared" si="51"/>
        <v>--</v>
      </c>
      <c r="G563" s="16" t="str">
        <f t="shared" si="52"/>
        <v>--</v>
      </c>
      <c r="H563" s="24" t="str">
        <f>IFERROR(VLOOKUP(B563,#REF!,8,FALSE),"")</f>
        <v/>
      </c>
      <c r="I563" s="17">
        <v>6000</v>
      </c>
      <c r="J563" s="17">
        <v>6000</v>
      </c>
      <c r="K563" s="24" t="str">
        <f>IFERROR(VLOOKUP(B563,#REF!,11,FALSE),"")</f>
        <v/>
      </c>
      <c r="L563" s="17">
        <v>0</v>
      </c>
      <c r="M563" s="6" t="s">
        <v>752</v>
      </c>
      <c r="N563" s="18" t="str">
        <f>IFERROR(VLOOKUP(B563,#REF!,13,FALSE),"")</f>
        <v/>
      </c>
      <c r="O563" s="19" t="str">
        <f>IFERROR(VLOOKUP(B563,#REF!,14,FALSE),"")</f>
        <v/>
      </c>
      <c r="P563" s="19" t="str">
        <f>IFERROR(VLOOKUP(B563,#REF!,15,FALSE),"")</f>
        <v/>
      </c>
      <c r="Q563" s="19"/>
      <c r="R563" s="25" t="str">
        <f>IFERROR(VLOOKUP(B563,#REF!,16,FALSE),"")</f>
        <v/>
      </c>
      <c r="S563" s="17">
        <v>0</v>
      </c>
      <c r="T563" s="17">
        <v>0</v>
      </c>
      <c r="U563" s="17">
        <v>0</v>
      </c>
      <c r="V563" s="17">
        <v>0</v>
      </c>
      <c r="W563" s="20">
        <v>6000</v>
      </c>
      <c r="X563" s="16" t="s">
        <v>40</v>
      </c>
      <c r="Y563" s="21" t="s">
        <v>40</v>
      </c>
      <c r="Z563" s="20">
        <v>0</v>
      </c>
      <c r="AA563" s="17" t="s">
        <v>40</v>
      </c>
      <c r="AB563" s="22" t="s">
        <v>41</v>
      </c>
      <c r="AC563" s="23" t="str">
        <f t="shared" si="53"/>
        <v>E</v>
      </c>
      <c r="AD563" s="17">
        <v>0</v>
      </c>
      <c r="AE563" s="17">
        <v>0</v>
      </c>
      <c r="AF563" s="17">
        <v>0</v>
      </c>
      <c r="AG563" s="17">
        <v>0</v>
      </c>
      <c r="AH563" s="15" t="s">
        <v>42</v>
      </c>
    </row>
    <row r="564" spans="1:34">
      <c r="A564" s="13" t="str">
        <f t="shared" si="48"/>
        <v>Normal</v>
      </c>
      <c r="B564" s="14" t="s">
        <v>567</v>
      </c>
      <c r="C564" s="15" t="s">
        <v>277</v>
      </c>
      <c r="D564" s="19">
        <f t="shared" si="49"/>
        <v>2.8</v>
      </c>
      <c r="E564" s="16">
        <f t="shared" si="50"/>
        <v>31.9</v>
      </c>
      <c r="F564" s="16">
        <f t="shared" si="51"/>
        <v>4.3</v>
      </c>
      <c r="G564" s="16">
        <f t="shared" si="52"/>
        <v>49.1</v>
      </c>
      <c r="H564" s="24" t="str">
        <f>IFERROR(VLOOKUP(B564,#REF!,8,FALSE),"")</f>
        <v/>
      </c>
      <c r="I564" s="17">
        <v>60000</v>
      </c>
      <c r="J564" s="17">
        <v>0</v>
      </c>
      <c r="K564" s="24" t="str">
        <f>IFERROR(VLOOKUP(B564,#REF!,11,FALSE),"")</f>
        <v/>
      </c>
      <c r="L564" s="17">
        <v>39000</v>
      </c>
      <c r="M564" s="6" t="s">
        <v>765</v>
      </c>
      <c r="N564" s="18" t="str">
        <f>IFERROR(VLOOKUP(B564,#REF!,13,FALSE),"")</f>
        <v/>
      </c>
      <c r="O564" s="19" t="str">
        <f>IFERROR(VLOOKUP(B564,#REF!,14,FALSE),"")</f>
        <v/>
      </c>
      <c r="P564" s="19" t="str">
        <f>IFERROR(VLOOKUP(B564,#REF!,15,FALSE),"")</f>
        <v/>
      </c>
      <c r="Q564" s="19"/>
      <c r="R564" s="25" t="str">
        <f>IFERROR(VLOOKUP(B564,#REF!,16,FALSE),"")</f>
        <v/>
      </c>
      <c r="S564" s="17">
        <v>0</v>
      </c>
      <c r="T564" s="17">
        <v>12000</v>
      </c>
      <c r="U564" s="17">
        <v>27000</v>
      </c>
      <c r="V564" s="17">
        <v>0</v>
      </c>
      <c r="W564" s="20">
        <v>99000</v>
      </c>
      <c r="X564" s="16">
        <v>7.1</v>
      </c>
      <c r="Y564" s="21">
        <v>80.900000000000006</v>
      </c>
      <c r="Z564" s="20">
        <v>13875</v>
      </c>
      <c r="AA564" s="17">
        <v>1223</v>
      </c>
      <c r="AB564" s="22">
        <v>0.1</v>
      </c>
      <c r="AC564" s="23">
        <f t="shared" si="53"/>
        <v>50</v>
      </c>
      <c r="AD564" s="17">
        <v>1699</v>
      </c>
      <c r="AE564" s="17">
        <v>8523</v>
      </c>
      <c r="AF564" s="17">
        <v>1796</v>
      </c>
      <c r="AG564" s="17">
        <v>1704</v>
      </c>
      <c r="AH564" s="15" t="s">
        <v>42</v>
      </c>
    </row>
    <row r="565" spans="1:34">
      <c r="A565" s="13" t="str">
        <f t="shared" si="48"/>
        <v>Normal</v>
      </c>
      <c r="B565" s="14" t="s">
        <v>568</v>
      </c>
      <c r="C565" s="15" t="s">
        <v>277</v>
      </c>
      <c r="D565" s="19">
        <f t="shared" si="49"/>
        <v>2.7</v>
      </c>
      <c r="E565" s="16">
        <f t="shared" si="50"/>
        <v>7</v>
      </c>
      <c r="F565" s="16">
        <f t="shared" si="51"/>
        <v>5.0999999999999996</v>
      </c>
      <c r="G565" s="16">
        <f t="shared" si="52"/>
        <v>13</v>
      </c>
      <c r="H565" s="24" t="str">
        <f>IFERROR(VLOOKUP(B565,#REF!,8,FALSE),"")</f>
        <v/>
      </c>
      <c r="I565" s="17">
        <v>78000</v>
      </c>
      <c r="J565" s="17">
        <v>36000</v>
      </c>
      <c r="K565" s="24" t="str">
        <f>IFERROR(VLOOKUP(B565,#REF!,11,FALSE),"")</f>
        <v/>
      </c>
      <c r="L565" s="17">
        <v>42000</v>
      </c>
      <c r="M565" s="6" t="s">
        <v>758</v>
      </c>
      <c r="N565" s="18" t="str">
        <f>IFERROR(VLOOKUP(B565,#REF!,13,FALSE),"")</f>
        <v/>
      </c>
      <c r="O565" s="19" t="str">
        <f>IFERROR(VLOOKUP(B565,#REF!,14,FALSE),"")</f>
        <v/>
      </c>
      <c r="P565" s="19" t="str">
        <f>IFERROR(VLOOKUP(B565,#REF!,15,FALSE),"")</f>
        <v/>
      </c>
      <c r="Q565" s="19"/>
      <c r="R565" s="25" t="str">
        <f>IFERROR(VLOOKUP(B565,#REF!,16,FALSE),"")</f>
        <v/>
      </c>
      <c r="S565" s="17">
        <v>0</v>
      </c>
      <c r="T565" s="17">
        <v>42000</v>
      </c>
      <c r="U565" s="17">
        <v>0</v>
      </c>
      <c r="V565" s="17">
        <v>0</v>
      </c>
      <c r="W565" s="20">
        <v>120000</v>
      </c>
      <c r="X565" s="16">
        <v>7.8</v>
      </c>
      <c r="Y565" s="21">
        <v>20</v>
      </c>
      <c r="Z565" s="20">
        <v>15375</v>
      </c>
      <c r="AA565" s="17">
        <v>6000</v>
      </c>
      <c r="AB565" s="22">
        <v>0.4</v>
      </c>
      <c r="AC565" s="23">
        <f t="shared" si="53"/>
        <v>50</v>
      </c>
      <c r="AD565" s="17">
        <v>0</v>
      </c>
      <c r="AE565" s="17">
        <v>27000</v>
      </c>
      <c r="AF565" s="17">
        <v>39000</v>
      </c>
      <c r="AG565" s="17">
        <v>9000</v>
      </c>
      <c r="AH565" s="15" t="s">
        <v>42</v>
      </c>
    </row>
    <row r="566" spans="1:34">
      <c r="A566" s="13" t="str">
        <f t="shared" si="48"/>
        <v>OverStock</v>
      </c>
      <c r="B566" s="14" t="s">
        <v>569</v>
      </c>
      <c r="C566" s="15" t="s">
        <v>277</v>
      </c>
      <c r="D566" s="19">
        <f t="shared" si="49"/>
        <v>20.6</v>
      </c>
      <c r="E566" s="16">
        <f t="shared" si="50"/>
        <v>975.7</v>
      </c>
      <c r="F566" s="16">
        <f t="shared" si="51"/>
        <v>0</v>
      </c>
      <c r="G566" s="16">
        <f t="shared" si="52"/>
        <v>0</v>
      </c>
      <c r="H566" s="24" t="str">
        <f>IFERROR(VLOOKUP(B566,#REF!,8,FALSE),"")</f>
        <v/>
      </c>
      <c r="I566" s="17">
        <v>0</v>
      </c>
      <c r="J566" s="17">
        <v>0</v>
      </c>
      <c r="K566" s="24" t="str">
        <f>IFERROR(VLOOKUP(B566,#REF!,11,FALSE),"")</f>
        <v/>
      </c>
      <c r="L566" s="17">
        <v>201000</v>
      </c>
      <c r="M566" s="6" t="s">
        <v>760</v>
      </c>
      <c r="N566" s="18" t="str">
        <f>IFERROR(VLOOKUP(B566,#REF!,13,FALSE),"")</f>
        <v/>
      </c>
      <c r="O566" s="19" t="str">
        <f>IFERROR(VLOOKUP(B566,#REF!,14,FALSE),"")</f>
        <v/>
      </c>
      <c r="P566" s="19" t="str">
        <f>IFERROR(VLOOKUP(B566,#REF!,15,FALSE),"")</f>
        <v/>
      </c>
      <c r="Q566" s="19"/>
      <c r="R566" s="25" t="str">
        <f>IFERROR(VLOOKUP(B566,#REF!,16,FALSE),"")</f>
        <v/>
      </c>
      <c r="S566" s="17">
        <v>0</v>
      </c>
      <c r="T566" s="17">
        <v>147000</v>
      </c>
      <c r="U566" s="17">
        <v>54000</v>
      </c>
      <c r="V566" s="17">
        <v>0</v>
      </c>
      <c r="W566" s="20">
        <v>201000</v>
      </c>
      <c r="X566" s="16">
        <v>20.6</v>
      </c>
      <c r="Y566" s="21">
        <v>975.7</v>
      </c>
      <c r="Z566" s="20">
        <v>9750</v>
      </c>
      <c r="AA566" s="17">
        <v>206</v>
      </c>
      <c r="AB566" s="22">
        <v>0</v>
      </c>
      <c r="AC566" s="23">
        <f t="shared" si="53"/>
        <v>50</v>
      </c>
      <c r="AD566" s="17">
        <v>68</v>
      </c>
      <c r="AE566" s="17">
        <v>86</v>
      </c>
      <c r="AF566" s="17">
        <v>1746</v>
      </c>
      <c r="AG566" s="17">
        <v>1736</v>
      </c>
      <c r="AH566" s="15" t="s">
        <v>42</v>
      </c>
    </row>
    <row r="567" spans="1:34">
      <c r="A567" s="13" t="str">
        <f t="shared" si="48"/>
        <v>OverStock</v>
      </c>
      <c r="B567" s="14" t="s">
        <v>571</v>
      </c>
      <c r="C567" s="15" t="s">
        <v>277</v>
      </c>
      <c r="D567" s="19">
        <f t="shared" si="49"/>
        <v>0</v>
      </c>
      <c r="E567" s="16">
        <f t="shared" si="50"/>
        <v>0</v>
      </c>
      <c r="F567" s="16">
        <f t="shared" si="51"/>
        <v>26.4</v>
      </c>
      <c r="G567" s="16">
        <f t="shared" si="52"/>
        <v>63</v>
      </c>
      <c r="H567" s="24" t="str">
        <f>IFERROR(VLOOKUP(B567,#REF!,8,FALSE),"")</f>
        <v/>
      </c>
      <c r="I567" s="17">
        <v>168000</v>
      </c>
      <c r="J567" s="17">
        <v>72000</v>
      </c>
      <c r="K567" s="24" t="str">
        <f>IFERROR(VLOOKUP(B567,#REF!,11,FALSE),"")</f>
        <v/>
      </c>
      <c r="L567" s="17">
        <v>0</v>
      </c>
      <c r="M567" s="6" t="s">
        <v>758</v>
      </c>
      <c r="N567" s="18" t="str">
        <f>IFERROR(VLOOKUP(B567,#REF!,13,FALSE),"")</f>
        <v/>
      </c>
      <c r="O567" s="19" t="str">
        <f>IFERROR(VLOOKUP(B567,#REF!,14,FALSE),"")</f>
        <v/>
      </c>
      <c r="P567" s="19" t="str">
        <f>IFERROR(VLOOKUP(B567,#REF!,15,FALSE),"")</f>
        <v/>
      </c>
      <c r="Q567" s="19"/>
      <c r="R567" s="25" t="str">
        <f>IFERROR(VLOOKUP(B567,#REF!,16,FALSE),"")</f>
        <v/>
      </c>
      <c r="S567" s="17">
        <v>0</v>
      </c>
      <c r="T567" s="17">
        <v>0</v>
      </c>
      <c r="U567" s="17">
        <v>0</v>
      </c>
      <c r="V567" s="17">
        <v>0</v>
      </c>
      <c r="W567" s="20">
        <v>168000</v>
      </c>
      <c r="X567" s="16">
        <v>26.4</v>
      </c>
      <c r="Y567" s="21">
        <v>63</v>
      </c>
      <c r="Z567" s="20">
        <v>6375</v>
      </c>
      <c r="AA567" s="17">
        <v>2667</v>
      </c>
      <c r="AB567" s="22">
        <v>0.4</v>
      </c>
      <c r="AC567" s="23">
        <f t="shared" si="53"/>
        <v>50</v>
      </c>
      <c r="AD567" s="17">
        <v>3000</v>
      </c>
      <c r="AE567" s="17">
        <v>9000</v>
      </c>
      <c r="AF567" s="17">
        <v>12000</v>
      </c>
      <c r="AG567" s="17">
        <v>12000</v>
      </c>
      <c r="AH567" s="15" t="s">
        <v>42</v>
      </c>
    </row>
    <row r="568" spans="1:34">
      <c r="A568" s="13" t="str">
        <f t="shared" si="48"/>
        <v>OverStock</v>
      </c>
      <c r="B568" s="14" t="s">
        <v>572</v>
      </c>
      <c r="C568" s="15" t="s">
        <v>277</v>
      </c>
      <c r="D568" s="19">
        <f t="shared" si="49"/>
        <v>7.1</v>
      </c>
      <c r="E568" s="16">
        <f t="shared" si="50"/>
        <v>5.5</v>
      </c>
      <c r="F568" s="16">
        <f t="shared" si="51"/>
        <v>11.6</v>
      </c>
      <c r="G568" s="16">
        <f t="shared" si="52"/>
        <v>9</v>
      </c>
      <c r="H568" s="24" t="str">
        <f>IFERROR(VLOOKUP(B568,#REF!,8,FALSE),"")</f>
        <v/>
      </c>
      <c r="I568" s="17">
        <v>39000</v>
      </c>
      <c r="J568" s="17">
        <v>24000</v>
      </c>
      <c r="K568" s="24" t="str">
        <f>IFERROR(VLOOKUP(B568,#REF!,11,FALSE),"")</f>
        <v/>
      </c>
      <c r="L568" s="17">
        <v>24000</v>
      </c>
      <c r="M568" s="6" t="s">
        <v>758</v>
      </c>
      <c r="N568" s="18" t="str">
        <f>IFERROR(VLOOKUP(B568,#REF!,13,FALSE),"")</f>
        <v/>
      </c>
      <c r="O568" s="19" t="str">
        <f>IFERROR(VLOOKUP(B568,#REF!,14,FALSE),"")</f>
        <v/>
      </c>
      <c r="P568" s="19" t="str">
        <f>IFERROR(VLOOKUP(B568,#REF!,15,FALSE),"")</f>
        <v/>
      </c>
      <c r="Q568" s="19"/>
      <c r="R568" s="25" t="str">
        <f>IFERROR(VLOOKUP(B568,#REF!,16,FALSE),"")</f>
        <v/>
      </c>
      <c r="S568" s="17">
        <v>0</v>
      </c>
      <c r="T568" s="17">
        <v>24000</v>
      </c>
      <c r="U568" s="17">
        <v>0</v>
      </c>
      <c r="V568" s="17">
        <v>0</v>
      </c>
      <c r="W568" s="20">
        <v>63000</v>
      </c>
      <c r="X568" s="16">
        <v>18.7</v>
      </c>
      <c r="Y568" s="21">
        <v>14.5</v>
      </c>
      <c r="Z568" s="20">
        <v>3375</v>
      </c>
      <c r="AA568" s="17">
        <v>4333</v>
      </c>
      <c r="AB568" s="22">
        <v>1.3</v>
      </c>
      <c r="AC568" s="23">
        <f t="shared" si="53"/>
        <v>100</v>
      </c>
      <c r="AD568" s="17">
        <v>3000</v>
      </c>
      <c r="AE568" s="17">
        <v>18000</v>
      </c>
      <c r="AF568" s="17">
        <v>18000</v>
      </c>
      <c r="AG568" s="17">
        <v>21000</v>
      </c>
      <c r="AH568" s="15" t="s">
        <v>42</v>
      </c>
    </row>
    <row r="569" spans="1:34">
      <c r="A569" s="13" t="str">
        <f t="shared" si="48"/>
        <v>FCST</v>
      </c>
      <c r="B569" s="14" t="s">
        <v>573</v>
      </c>
      <c r="C569" s="15" t="s">
        <v>277</v>
      </c>
      <c r="D569" s="19" t="str">
        <f t="shared" si="49"/>
        <v>前八週無拉料</v>
      </c>
      <c r="E569" s="16">
        <f t="shared" si="50"/>
        <v>12.7</v>
      </c>
      <c r="F569" s="16" t="str">
        <f t="shared" si="51"/>
        <v>--</v>
      </c>
      <c r="G569" s="16">
        <f t="shared" si="52"/>
        <v>0</v>
      </c>
      <c r="H569" s="24" t="str">
        <f>IFERROR(VLOOKUP(B569,#REF!,8,FALSE),"")</f>
        <v/>
      </c>
      <c r="I569" s="17">
        <v>0</v>
      </c>
      <c r="J569" s="17">
        <v>0</v>
      </c>
      <c r="K569" s="24" t="str">
        <f>IFERROR(VLOOKUP(B569,#REF!,11,FALSE),"")</f>
        <v/>
      </c>
      <c r="L569" s="17">
        <v>249000</v>
      </c>
      <c r="M569" s="6" t="s">
        <v>758</v>
      </c>
      <c r="N569" s="18" t="str">
        <f>IFERROR(VLOOKUP(B569,#REF!,13,FALSE),"")</f>
        <v/>
      </c>
      <c r="O569" s="19" t="str">
        <f>IFERROR(VLOOKUP(B569,#REF!,14,FALSE),"")</f>
        <v/>
      </c>
      <c r="P569" s="19" t="str">
        <f>IFERROR(VLOOKUP(B569,#REF!,15,FALSE),"")</f>
        <v/>
      </c>
      <c r="Q569" s="19"/>
      <c r="R569" s="25" t="str">
        <f>IFERROR(VLOOKUP(B569,#REF!,16,FALSE),"")</f>
        <v/>
      </c>
      <c r="S569" s="17">
        <v>0</v>
      </c>
      <c r="T569" s="17">
        <v>249000</v>
      </c>
      <c r="U569" s="17">
        <v>0</v>
      </c>
      <c r="V569" s="17">
        <v>0</v>
      </c>
      <c r="W569" s="20">
        <v>249000</v>
      </c>
      <c r="X569" s="16" t="s">
        <v>40</v>
      </c>
      <c r="Y569" s="21">
        <v>12.7</v>
      </c>
      <c r="Z569" s="20">
        <v>0</v>
      </c>
      <c r="AA569" s="17">
        <v>19667</v>
      </c>
      <c r="AB569" s="22" t="s">
        <v>51</v>
      </c>
      <c r="AC569" s="23" t="str">
        <f t="shared" si="53"/>
        <v>F</v>
      </c>
      <c r="AD569" s="17">
        <v>63000</v>
      </c>
      <c r="AE569" s="17">
        <v>114000</v>
      </c>
      <c r="AF569" s="17">
        <v>0</v>
      </c>
      <c r="AG569" s="17">
        <v>0</v>
      </c>
      <c r="AH569" s="15" t="s">
        <v>42</v>
      </c>
    </row>
    <row r="570" spans="1:34">
      <c r="A570" s="13" t="str">
        <f t="shared" si="48"/>
        <v>Normal</v>
      </c>
      <c r="B570" s="14" t="s">
        <v>574</v>
      </c>
      <c r="C570" s="15" t="s">
        <v>277</v>
      </c>
      <c r="D570" s="19">
        <f t="shared" si="49"/>
        <v>7</v>
      </c>
      <c r="E570" s="16">
        <f t="shared" si="50"/>
        <v>16.600000000000001</v>
      </c>
      <c r="F570" s="16">
        <f t="shared" si="51"/>
        <v>4.5</v>
      </c>
      <c r="G570" s="16">
        <f t="shared" si="52"/>
        <v>10.6</v>
      </c>
      <c r="H570" s="24" t="str">
        <f>IFERROR(VLOOKUP(B570,#REF!,8,FALSE),"")</f>
        <v/>
      </c>
      <c r="I570" s="17">
        <v>600000</v>
      </c>
      <c r="J570" s="17">
        <v>0</v>
      </c>
      <c r="K570" s="24" t="str">
        <f>IFERROR(VLOOKUP(B570,#REF!,11,FALSE),"")</f>
        <v/>
      </c>
      <c r="L570" s="17">
        <v>942100</v>
      </c>
      <c r="M570" s="6" t="s">
        <v>766</v>
      </c>
      <c r="N570" s="18" t="str">
        <f>IFERROR(VLOOKUP(B570,#REF!,13,FALSE),"")</f>
        <v/>
      </c>
      <c r="O570" s="19" t="str">
        <f>IFERROR(VLOOKUP(B570,#REF!,14,FALSE),"")</f>
        <v/>
      </c>
      <c r="P570" s="19" t="str">
        <f>IFERROR(VLOOKUP(B570,#REF!,15,FALSE),"")</f>
        <v/>
      </c>
      <c r="Q570" s="19"/>
      <c r="R570" s="25" t="str">
        <f>IFERROR(VLOOKUP(B570,#REF!,16,FALSE),"")</f>
        <v/>
      </c>
      <c r="S570" s="17">
        <v>0</v>
      </c>
      <c r="T570" s="17">
        <v>942100</v>
      </c>
      <c r="U570" s="17">
        <v>0</v>
      </c>
      <c r="V570" s="17">
        <v>0</v>
      </c>
      <c r="W570" s="20">
        <v>1542100</v>
      </c>
      <c r="X570" s="16">
        <v>11.5</v>
      </c>
      <c r="Y570" s="21">
        <v>27.2</v>
      </c>
      <c r="Z570" s="20">
        <v>134250</v>
      </c>
      <c r="AA570" s="17">
        <v>56666</v>
      </c>
      <c r="AB570" s="22">
        <v>0.4</v>
      </c>
      <c r="AC570" s="23">
        <f t="shared" si="53"/>
        <v>50</v>
      </c>
      <c r="AD570" s="17">
        <v>0</v>
      </c>
      <c r="AE570" s="17">
        <v>255000</v>
      </c>
      <c r="AF570" s="17">
        <v>309000</v>
      </c>
      <c r="AG570" s="17">
        <v>180000</v>
      </c>
      <c r="AH570" s="15" t="s">
        <v>42</v>
      </c>
    </row>
    <row r="571" spans="1:34">
      <c r="A571" s="13" t="str">
        <f t="shared" si="48"/>
        <v>ZeroZero</v>
      </c>
      <c r="B571" s="14" t="s">
        <v>575</v>
      </c>
      <c r="C571" s="15" t="s">
        <v>277</v>
      </c>
      <c r="D571" s="19" t="str">
        <f t="shared" si="49"/>
        <v>前八週無拉料</v>
      </c>
      <c r="E571" s="16" t="str">
        <f t="shared" si="50"/>
        <v>--</v>
      </c>
      <c r="F571" s="16" t="str">
        <f t="shared" si="51"/>
        <v>--</v>
      </c>
      <c r="G571" s="16" t="str">
        <f t="shared" si="52"/>
        <v>--</v>
      </c>
      <c r="H571" s="24" t="str">
        <f>IFERROR(VLOOKUP(B571,#REF!,8,FALSE),"")</f>
        <v/>
      </c>
      <c r="I571" s="17">
        <v>5400000</v>
      </c>
      <c r="J571" s="17">
        <v>0</v>
      </c>
      <c r="K571" s="24" t="str">
        <f>IFERROR(VLOOKUP(B571,#REF!,11,FALSE),"")</f>
        <v/>
      </c>
      <c r="L571" s="17">
        <v>0</v>
      </c>
      <c r="M571" s="6" t="s">
        <v>752</v>
      </c>
      <c r="N571" s="18" t="str">
        <f>IFERROR(VLOOKUP(B571,#REF!,13,FALSE),"")</f>
        <v/>
      </c>
      <c r="O571" s="19" t="str">
        <f>IFERROR(VLOOKUP(B571,#REF!,14,FALSE),"")</f>
        <v/>
      </c>
      <c r="P571" s="19" t="str">
        <f>IFERROR(VLOOKUP(B571,#REF!,15,FALSE),"")</f>
        <v/>
      </c>
      <c r="Q571" s="19"/>
      <c r="R571" s="25" t="str">
        <f>IFERROR(VLOOKUP(B571,#REF!,16,FALSE),"")</f>
        <v/>
      </c>
      <c r="S571" s="17">
        <v>0</v>
      </c>
      <c r="T571" s="17">
        <v>0</v>
      </c>
      <c r="U571" s="17">
        <v>0</v>
      </c>
      <c r="V571" s="17">
        <v>0</v>
      </c>
      <c r="W571" s="20">
        <v>5400000</v>
      </c>
      <c r="X571" s="16" t="s">
        <v>40</v>
      </c>
      <c r="Y571" s="21" t="s">
        <v>40</v>
      </c>
      <c r="Z571" s="20">
        <v>0</v>
      </c>
      <c r="AA571" s="17" t="s">
        <v>40</v>
      </c>
      <c r="AB571" s="22" t="s">
        <v>41</v>
      </c>
      <c r="AC571" s="23" t="str">
        <f t="shared" si="53"/>
        <v>E</v>
      </c>
      <c r="AD571" s="17">
        <v>0</v>
      </c>
      <c r="AE571" s="17">
        <v>0</v>
      </c>
      <c r="AF571" s="17">
        <v>0</v>
      </c>
      <c r="AG571" s="17">
        <v>0</v>
      </c>
      <c r="AH571" s="15" t="s">
        <v>42</v>
      </c>
    </row>
    <row r="572" spans="1:34">
      <c r="A572" s="13" t="str">
        <f t="shared" si="48"/>
        <v>OverStock</v>
      </c>
      <c r="B572" s="14" t="s">
        <v>576</v>
      </c>
      <c r="C572" s="15" t="s">
        <v>277</v>
      </c>
      <c r="D572" s="19">
        <f t="shared" si="49"/>
        <v>7</v>
      </c>
      <c r="E572" s="16">
        <f t="shared" si="50"/>
        <v>7.9</v>
      </c>
      <c r="F572" s="16">
        <f t="shared" si="51"/>
        <v>13.8</v>
      </c>
      <c r="G572" s="16">
        <f t="shared" si="52"/>
        <v>15.5</v>
      </c>
      <c r="H572" s="24" t="str">
        <f>IFERROR(VLOOKUP(B572,#REF!,8,FALSE),"")</f>
        <v/>
      </c>
      <c r="I572" s="17">
        <v>19710000</v>
      </c>
      <c r="J572" s="17">
        <v>10010000</v>
      </c>
      <c r="K572" s="24" t="str">
        <f>IFERROR(VLOOKUP(B572,#REF!,11,FALSE),"")</f>
        <v/>
      </c>
      <c r="L572" s="17">
        <v>10040000</v>
      </c>
      <c r="M572" s="6" t="s">
        <v>760</v>
      </c>
      <c r="N572" s="18" t="str">
        <f>IFERROR(VLOOKUP(B572,#REF!,13,FALSE),"")</f>
        <v/>
      </c>
      <c r="O572" s="19" t="str">
        <f>IFERROR(VLOOKUP(B572,#REF!,14,FALSE),"")</f>
        <v/>
      </c>
      <c r="P572" s="19" t="str">
        <f>IFERROR(VLOOKUP(B572,#REF!,15,FALSE),"")</f>
        <v/>
      </c>
      <c r="Q572" s="19"/>
      <c r="R572" s="25" t="str">
        <f>IFERROR(VLOOKUP(B572,#REF!,16,FALSE),"")</f>
        <v/>
      </c>
      <c r="S572" s="17">
        <v>0</v>
      </c>
      <c r="T572" s="17">
        <v>10040000</v>
      </c>
      <c r="U572" s="17">
        <v>0</v>
      </c>
      <c r="V572" s="17">
        <v>0</v>
      </c>
      <c r="W572" s="20">
        <v>29750000</v>
      </c>
      <c r="X572" s="16">
        <v>20.8</v>
      </c>
      <c r="Y572" s="21">
        <v>23.3</v>
      </c>
      <c r="Z572" s="20">
        <v>1428750</v>
      </c>
      <c r="AA572" s="17">
        <v>1274444</v>
      </c>
      <c r="AB572" s="22">
        <v>0.9</v>
      </c>
      <c r="AC572" s="23">
        <f t="shared" si="53"/>
        <v>100</v>
      </c>
      <c r="AD572" s="17">
        <v>3250000</v>
      </c>
      <c r="AE572" s="17">
        <v>5130000</v>
      </c>
      <c r="AF572" s="17">
        <v>4575000</v>
      </c>
      <c r="AG572" s="17">
        <v>6810000</v>
      </c>
      <c r="AH572" s="15" t="s">
        <v>42</v>
      </c>
    </row>
    <row r="573" spans="1:34">
      <c r="A573" s="13" t="str">
        <f t="shared" si="48"/>
        <v>Normal</v>
      </c>
      <c r="B573" s="14" t="s">
        <v>577</v>
      </c>
      <c r="C573" s="15" t="s">
        <v>277</v>
      </c>
      <c r="D573" s="19">
        <f t="shared" si="49"/>
        <v>5.7</v>
      </c>
      <c r="E573" s="16">
        <f t="shared" si="50"/>
        <v>11.9</v>
      </c>
      <c r="F573" s="16">
        <f t="shared" si="51"/>
        <v>10</v>
      </c>
      <c r="G573" s="16">
        <f t="shared" si="52"/>
        <v>21.2</v>
      </c>
      <c r="H573" s="24" t="str">
        <f>IFERROR(VLOOKUP(B573,#REF!,8,FALSE),"")</f>
        <v/>
      </c>
      <c r="I573" s="17">
        <v>282000</v>
      </c>
      <c r="J573" s="17">
        <v>183000</v>
      </c>
      <c r="K573" s="24" t="str">
        <f>IFERROR(VLOOKUP(B573,#REF!,11,FALSE),"")</f>
        <v/>
      </c>
      <c r="L573" s="17">
        <v>159000</v>
      </c>
      <c r="M573" s="6" t="s">
        <v>751</v>
      </c>
      <c r="N573" s="18" t="str">
        <f>IFERROR(VLOOKUP(B573,#REF!,13,FALSE),"")</f>
        <v/>
      </c>
      <c r="O573" s="19" t="str">
        <f>IFERROR(VLOOKUP(B573,#REF!,14,FALSE),"")</f>
        <v/>
      </c>
      <c r="P573" s="19" t="str">
        <f>IFERROR(VLOOKUP(B573,#REF!,15,FALSE),"")</f>
        <v/>
      </c>
      <c r="Q573" s="19"/>
      <c r="R573" s="25" t="str">
        <f>IFERROR(VLOOKUP(B573,#REF!,16,FALSE),"")</f>
        <v/>
      </c>
      <c r="S573" s="17">
        <v>0</v>
      </c>
      <c r="T573" s="17">
        <v>159000</v>
      </c>
      <c r="U573" s="17">
        <v>0</v>
      </c>
      <c r="V573" s="17">
        <v>0</v>
      </c>
      <c r="W573" s="20">
        <v>441000</v>
      </c>
      <c r="X573" s="16">
        <v>15.7</v>
      </c>
      <c r="Y573" s="21">
        <v>33.1</v>
      </c>
      <c r="Z573" s="20">
        <v>28125</v>
      </c>
      <c r="AA573" s="17">
        <v>13333</v>
      </c>
      <c r="AB573" s="22">
        <v>0.5</v>
      </c>
      <c r="AC573" s="23">
        <f t="shared" si="53"/>
        <v>100</v>
      </c>
      <c r="AD573" s="17">
        <v>0</v>
      </c>
      <c r="AE573" s="17">
        <v>51000</v>
      </c>
      <c r="AF573" s="17">
        <v>69000</v>
      </c>
      <c r="AG573" s="17">
        <v>102000</v>
      </c>
      <c r="AH573" s="15" t="s">
        <v>42</v>
      </c>
    </row>
    <row r="574" spans="1:34">
      <c r="A574" s="13" t="str">
        <f t="shared" si="48"/>
        <v>OverStock</v>
      </c>
      <c r="B574" s="14" t="s">
        <v>579</v>
      </c>
      <c r="C574" s="15" t="s">
        <v>277</v>
      </c>
      <c r="D574" s="19">
        <f t="shared" si="49"/>
        <v>5.0999999999999996</v>
      </c>
      <c r="E574" s="16">
        <f t="shared" si="50"/>
        <v>13.8</v>
      </c>
      <c r="F574" s="16">
        <f t="shared" si="51"/>
        <v>49.6</v>
      </c>
      <c r="G574" s="16">
        <f t="shared" si="52"/>
        <v>132.80000000000001</v>
      </c>
      <c r="H574" s="24" t="str">
        <f>IFERROR(VLOOKUP(B574,#REF!,8,FALSE),"")</f>
        <v/>
      </c>
      <c r="I574" s="17">
        <v>1041000</v>
      </c>
      <c r="J574" s="17">
        <v>771000</v>
      </c>
      <c r="K574" s="24" t="str">
        <f>IFERROR(VLOOKUP(B574,#REF!,11,FALSE),"")</f>
        <v/>
      </c>
      <c r="L574" s="17">
        <v>108000</v>
      </c>
      <c r="M574" s="6" t="s">
        <v>753</v>
      </c>
      <c r="N574" s="18" t="str">
        <f>IFERROR(VLOOKUP(B574,#REF!,13,FALSE),"")</f>
        <v/>
      </c>
      <c r="O574" s="19" t="str">
        <f>IFERROR(VLOOKUP(B574,#REF!,14,FALSE),"")</f>
        <v/>
      </c>
      <c r="P574" s="19" t="str">
        <f>IFERROR(VLOOKUP(B574,#REF!,15,FALSE),"")</f>
        <v/>
      </c>
      <c r="Q574" s="19"/>
      <c r="R574" s="25" t="str">
        <f>IFERROR(VLOOKUP(B574,#REF!,16,FALSE),"")</f>
        <v/>
      </c>
      <c r="S574" s="17">
        <v>0</v>
      </c>
      <c r="T574" s="17">
        <v>0</v>
      </c>
      <c r="U574" s="17">
        <v>108000</v>
      </c>
      <c r="V574" s="17">
        <v>0</v>
      </c>
      <c r="W574" s="20">
        <v>1149000</v>
      </c>
      <c r="X574" s="16">
        <v>54.7</v>
      </c>
      <c r="Y574" s="21">
        <v>146.6</v>
      </c>
      <c r="Z574" s="20">
        <v>21000</v>
      </c>
      <c r="AA574" s="17">
        <v>7837</v>
      </c>
      <c r="AB574" s="22">
        <v>0.4</v>
      </c>
      <c r="AC574" s="23">
        <f t="shared" si="53"/>
        <v>50</v>
      </c>
      <c r="AD574" s="17">
        <v>766</v>
      </c>
      <c r="AE574" s="17">
        <v>1030</v>
      </c>
      <c r="AF574" s="17">
        <v>300344</v>
      </c>
      <c r="AG574" s="17">
        <v>616</v>
      </c>
      <c r="AH574" s="15" t="s">
        <v>42</v>
      </c>
    </row>
    <row r="575" spans="1:34">
      <c r="A575" s="13" t="str">
        <f t="shared" si="48"/>
        <v>Normal</v>
      </c>
      <c r="B575" s="14" t="s">
        <v>580</v>
      </c>
      <c r="C575" s="15" t="s">
        <v>277</v>
      </c>
      <c r="D575" s="19">
        <f t="shared" si="49"/>
        <v>7.3</v>
      </c>
      <c r="E575" s="16">
        <f t="shared" si="50"/>
        <v>22.4</v>
      </c>
      <c r="F575" s="16">
        <f t="shared" si="51"/>
        <v>5.2</v>
      </c>
      <c r="G575" s="16">
        <f t="shared" si="52"/>
        <v>15.8</v>
      </c>
      <c r="H575" s="24" t="str">
        <f>IFERROR(VLOOKUP(B575,#REF!,8,FALSE),"")</f>
        <v/>
      </c>
      <c r="I575" s="17">
        <v>3258000</v>
      </c>
      <c r="J575" s="17">
        <v>2073000</v>
      </c>
      <c r="K575" s="24" t="str">
        <f>IFERROR(VLOOKUP(B575,#REF!,11,FALSE),"")</f>
        <v/>
      </c>
      <c r="L575" s="17">
        <v>4623000</v>
      </c>
      <c r="M575" s="6" t="s">
        <v>761</v>
      </c>
      <c r="N575" s="18" t="str">
        <f>IFERROR(VLOOKUP(B575,#REF!,13,FALSE),"")</f>
        <v/>
      </c>
      <c r="O575" s="19" t="str">
        <f>IFERROR(VLOOKUP(B575,#REF!,14,FALSE),"")</f>
        <v/>
      </c>
      <c r="P575" s="19" t="str">
        <f>IFERROR(VLOOKUP(B575,#REF!,15,FALSE),"")</f>
        <v/>
      </c>
      <c r="Q575" s="19"/>
      <c r="R575" s="25" t="str">
        <f>IFERROR(VLOOKUP(B575,#REF!,16,FALSE),"")</f>
        <v/>
      </c>
      <c r="S575" s="17">
        <v>0</v>
      </c>
      <c r="T575" s="17">
        <v>4557000</v>
      </c>
      <c r="U575" s="17">
        <v>66000</v>
      </c>
      <c r="V575" s="17">
        <v>0</v>
      </c>
      <c r="W575" s="20">
        <v>7881000</v>
      </c>
      <c r="X575" s="16">
        <v>12.5</v>
      </c>
      <c r="Y575" s="21">
        <v>38.1</v>
      </c>
      <c r="Z575" s="20">
        <v>629625</v>
      </c>
      <c r="AA575" s="17">
        <v>206823</v>
      </c>
      <c r="AB575" s="22">
        <v>0.3</v>
      </c>
      <c r="AC575" s="23">
        <f t="shared" si="53"/>
        <v>50</v>
      </c>
      <c r="AD575" s="17">
        <v>407602</v>
      </c>
      <c r="AE575" s="17">
        <v>906906</v>
      </c>
      <c r="AF575" s="17">
        <v>873640</v>
      </c>
      <c r="AG575" s="17">
        <v>1154022</v>
      </c>
      <c r="AH575" s="15" t="s">
        <v>42</v>
      </c>
    </row>
    <row r="576" spans="1:34">
      <c r="A576" s="13" t="str">
        <f t="shared" si="48"/>
        <v>ZeroZero</v>
      </c>
      <c r="B576" s="14" t="s">
        <v>581</v>
      </c>
      <c r="C576" s="15" t="s">
        <v>277</v>
      </c>
      <c r="D576" s="19" t="str">
        <f t="shared" si="49"/>
        <v>前八週無拉料</v>
      </c>
      <c r="E576" s="16" t="str">
        <f t="shared" si="50"/>
        <v>--</v>
      </c>
      <c r="F576" s="16" t="str">
        <f t="shared" si="51"/>
        <v>--</v>
      </c>
      <c r="G576" s="16" t="str">
        <f t="shared" si="52"/>
        <v>--</v>
      </c>
      <c r="H576" s="24" t="str">
        <f>IFERROR(VLOOKUP(B576,#REF!,8,FALSE),"")</f>
        <v/>
      </c>
      <c r="I576" s="17">
        <v>3000</v>
      </c>
      <c r="J576" s="17">
        <v>0</v>
      </c>
      <c r="K576" s="24" t="str">
        <f>IFERROR(VLOOKUP(B576,#REF!,11,FALSE),"")</f>
        <v/>
      </c>
      <c r="L576" s="17">
        <v>0</v>
      </c>
      <c r="M576" s="6" t="s">
        <v>748</v>
      </c>
      <c r="N576" s="18" t="str">
        <f>IFERROR(VLOOKUP(B576,#REF!,13,FALSE),"")</f>
        <v/>
      </c>
      <c r="O576" s="19" t="str">
        <f>IFERROR(VLOOKUP(B576,#REF!,14,FALSE),"")</f>
        <v/>
      </c>
      <c r="P576" s="19" t="str">
        <f>IFERROR(VLOOKUP(B576,#REF!,15,FALSE),"")</f>
        <v/>
      </c>
      <c r="Q576" s="19"/>
      <c r="R576" s="25" t="str">
        <f>IFERROR(VLOOKUP(B576,#REF!,16,FALSE),"")</f>
        <v/>
      </c>
      <c r="S576" s="17">
        <v>0</v>
      </c>
      <c r="T576" s="17">
        <v>0</v>
      </c>
      <c r="U576" s="17">
        <v>0</v>
      </c>
      <c r="V576" s="17">
        <v>0</v>
      </c>
      <c r="W576" s="20">
        <v>3000</v>
      </c>
      <c r="X576" s="16" t="s">
        <v>40</v>
      </c>
      <c r="Y576" s="21" t="s">
        <v>40</v>
      </c>
      <c r="Z576" s="20">
        <v>0</v>
      </c>
      <c r="AA576" s="17" t="s">
        <v>40</v>
      </c>
      <c r="AB576" s="22" t="s">
        <v>41</v>
      </c>
      <c r="AC576" s="23" t="str">
        <f t="shared" si="53"/>
        <v>E</v>
      </c>
      <c r="AD576" s="17">
        <v>0</v>
      </c>
      <c r="AE576" s="17">
        <v>0</v>
      </c>
      <c r="AF576" s="17">
        <v>0</v>
      </c>
      <c r="AG576" s="17">
        <v>0</v>
      </c>
      <c r="AH576" s="15" t="s">
        <v>42</v>
      </c>
    </row>
    <row r="577" spans="1:34">
      <c r="A577" s="13" t="str">
        <f t="shared" si="48"/>
        <v>Normal</v>
      </c>
      <c r="B577" s="14" t="s">
        <v>582</v>
      </c>
      <c r="C577" s="15" t="s">
        <v>277</v>
      </c>
      <c r="D577" s="19">
        <f t="shared" si="49"/>
        <v>3.5</v>
      </c>
      <c r="E577" s="16">
        <f t="shared" si="50"/>
        <v>2.1</v>
      </c>
      <c r="F577" s="16">
        <f t="shared" si="51"/>
        <v>11.2</v>
      </c>
      <c r="G577" s="16">
        <f t="shared" si="52"/>
        <v>6.7</v>
      </c>
      <c r="H577" s="24" t="str">
        <f>IFERROR(VLOOKUP(B577,#REF!,8,FALSE),"")</f>
        <v/>
      </c>
      <c r="I577" s="17">
        <v>318000</v>
      </c>
      <c r="J577" s="17">
        <v>21000</v>
      </c>
      <c r="K577" s="24" t="str">
        <f>IFERROR(VLOOKUP(B577,#REF!,11,FALSE),"")</f>
        <v/>
      </c>
      <c r="L577" s="17">
        <v>99000</v>
      </c>
      <c r="M577" s="6" t="s">
        <v>758</v>
      </c>
      <c r="N577" s="18" t="str">
        <f>IFERROR(VLOOKUP(B577,#REF!,13,FALSE),"")</f>
        <v/>
      </c>
      <c r="O577" s="19" t="str">
        <f>IFERROR(VLOOKUP(B577,#REF!,14,FALSE),"")</f>
        <v/>
      </c>
      <c r="P577" s="19" t="str">
        <f>IFERROR(VLOOKUP(B577,#REF!,15,FALSE),"")</f>
        <v/>
      </c>
      <c r="Q577" s="19"/>
      <c r="R577" s="25" t="str">
        <f>IFERROR(VLOOKUP(B577,#REF!,16,FALSE),"")</f>
        <v/>
      </c>
      <c r="S577" s="17">
        <v>0</v>
      </c>
      <c r="T577" s="17">
        <v>99000</v>
      </c>
      <c r="U577" s="17">
        <v>0</v>
      </c>
      <c r="V577" s="17">
        <v>0</v>
      </c>
      <c r="W577" s="20">
        <v>417000</v>
      </c>
      <c r="X577" s="16">
        <v>14.6</v>
      </c>
      <c r="Y577" s="21">
        <v>8.8000000000000007</v>
      </c>
      <c r="Z577" s="20">
        <v>28500</v>
      </c>
      <c r="AA577" s="17">
        <v>47333</v>
      </c>
      <c r="AB577" s="22">
        <v>1.7</v>
      </c>
      <c r="AC577" s="23">
        <f t="shared" si="53"/>
        <v>100</v>
      </c>
      <c r="AD577" s="17">
        <v>54000</v>
      </c>
      <c r="AE577" s="17">
        <v>201000</v>
      </c>
      <c r="AF577" s="17">
        <v>171000</v>
      </c>
      <c r="AG577" s="17">
        <v>360000</v>
      </c>
      <c r="AH577" s="15" t="s">
        <v>42</v>
      </c>
    </row>
    <row r="578" spans="1:34">
      <c r="A578" s="13" t="str">
        <f t="shared" si="48"/>
        <v>None</v>
      </c>
      <c r="B578" s="14" t="s">
        <v>583</v>
      </c>
      <c r="C578" s="15" t="s">
        <v>277</v>
      </c>
      <c r="D578" s="19" t="str">
        <f t="shared" si="49"/>
        <v>前八週無拉料</v>
      </c>
      <c r="E578" s="16" t="str">
        <f t="shared" si="50"/>
        <v>--</v>
      </c>
      <c r="F578" s="16" t="str">
        <f t="shared" si="51"/>
        <v>--</v>
      </c>
      <c r="G578" s="16" t="str">
        <f t="shared" si="52"/>
        <v>--</v>
      </c>
      <c r="H578" s="24" t="str">
        <f>IFERROR(VLOOKUP(B578,#REF!,8,FALSE),"")</f>
        <v/>
      </c>
      <c r="I578" s="17">
        <v>0</v>
      </c>
      <c r="J578" s="17">
        <v>0</v>
      </c>
      <c r="K578" s="24" t="str">
        <f>IFERROR(VLOOKUP(B578,#REF!,11,FALSE),"")</f>
        <v/>
      </c>
      <c r="L578" s="17">
        <v>0</v>
      </c>
      <c r="M578" s="6" t="s">
        <v>758</v>
      </c>
      <c r="N578" s="18" t="str">
        <f>IFERROR(VLOOKUP(B578,#REF!,13,FALSE),"")</f>
        <v/>
      </c>
      <c r="O578" s="19" t="str">
        <f>IFERROR(VLOOKUP(B578,#REF!,14,FALSE),"")</f>
        <v/>
      </c>
      <c r="P578" s="19" t="str">
        <f>IFERROR(VLOOKUP(B578,#REF!,15,FALSE),"")</f>
        <v/>
      </c>
      <c r="Q578" s="19"/>
      <c r="R578" s="25" t="str">
        <f>IFERROR(VLOOKUP(B578,#REF!,16,FALSE),"")</f>
        <v/>
      </c>
      <c r="S578" s="17">
        <v>0</v>
      </c>
      <c r="T578" s="17">
        <v>0</v>
      </c>
      <c r="U578" s="17">
        <v>0</v>
      </c>
      <c r="V578" s="17">
        <v>0</v>
      </c>
      <c r="W578" s="20">
        <v>0</v>
      </c>
      <c r="X578" s="16" t="s">
        <v>40</v>
      </c>
      <c r="Y578" s="21" t="s">
        <v>40</v>
      </c>
      <c r="Z578" s="20">
        <v>0</v>
      </c>
      <c r="AA578" s="17">
        <v>0</v>
      </c>
      <c r="AB578" s="22" t="s">
        <v>41</v>
      </c>
      <c r="AC578" s="23" t="str">
        <f t="shared" si="53"/>
        <v>E</v>
      </c>
      <c r="AD578" s="17">
        <v>0</v>
      </c>
      <c r="AE578" s="17">
        <v>0</v>
      </c>
      <c r="AF578" s="17">
        <v>0</v>
      </c>
      <c r="AG578" s="17">
        <v>0</v>
      </c>
      <c r="AH578" s="15" t="s">
        <v>42</v>
      </c>
    </row>
    <row r="579" spans="1:34">
      <c r="A579" s="13" t="str">
        <f t="shared" si="48"/>
        <v>Normal</v>
      </c>
      <c r="B579" s="14" t="s">
        <v>584</v>
      </c>
      <c r="C579" s="15" t="s">
        <v>277</v>
      </c>
      <c r="D579" s="19">
        <f t="shared" si="49"/>
        <v>0</v>
      </c>
      <c r="E579" s="16" t="str">
        <f t="shared" si="50"/>
        <v>--</v>
      </c>
      <c r="F579" s="16">
        <f t="shared" si="51"/>
        <v>12.6</v>
      </c>
      <c r="G579" s="16" t="str">
        <f t="shared" si="52"/>
        <v>--</v>
      </c>
      <c r="H579" s="24" t="str">
        <f>IFERROR(VLOOKUP(B579,#REF!,8,FALSE),"")</f>
        <v/>
      </c>
      <c r="I579" s="17">
        <v>165000</v>
      </c>
      <c r="J579" s="17">
        <v>165000</v>
      </c>
      <c r="K579" s="24" t="str">
        <f>IFERROR(VLOOKUP(B579,#REF!,11,FALSE),"")</f>
        <v/>
      </c>
      <c r="L579" s="17">
        <v>0</v>
      </c>
      <c r="M579" s="6" t="s">
        <v>758</v>
      </c>
      <c r="N579" s="18" t="str">
        <f>IFERROR(VLOOKUP(B579,#REF!,13,FALSE),"")</f>
        <v/>
      </c>
      <c r="O579" s="19" t="str">
        <f>IFERROR(VLOOKUP(B579,#REF!,14,FALSE),"")</f>
        <v/>
      </c>
      <c r="P579" s="19" t="str">
        <f>IFERROR(VLOOKUP(B579,#REF!,15,FALSE),"")</f>
        <v/>
      </c>
      <c r="Q579" s="19"/>
      <c r="R579" s="25" t="str">
        <f>IFERROR(VLOOKUP(B579,#REF!,16,FALSE),"")</f>
        <v/>
      </c>
      <c r="S579" s="17">
        <v>0</v>
      </c>
      <c r="T579" s="17">
        <v>0</v>
      </c>
      <c r="U579" s="17">
        <v>0</v>
      </c>
      <c r="V579" s="17">
        <v>0</v>
      </c>
      <c r="W579" s="20">
        <v>165000</v>
      </c>
      <c r="X579" s="16">
        <v>12.6</v>
      </c>
      <c r="Y579" s="21" t="s">
        <v>40</v>
      </c>
      <c r="Z579" s="20">
        <v>13125</v>
      </c>
      <c r="AA579" s="17">
        <v>0</v>
      </c>
      <c r="AB579" s="22" t="s">
        <v>41</v>
      </c>
      <c r="AC579" s="23" t="str">
        <f t="shared" si="53"/>
        <v>E</v>
      </c>
      <c r="AD579" s="17">
        <v>150000</v>
      </c>
      <c r="AE579" s="17">
        <v>0</v>
      </c>
      <c r="AF579" s="17">
        <v>0</v>
      </c>
      <c r="AG579" s="17">
        <v>0</v>
      </c>
      <c r="AH579" s="15" t="s">
        <v>42</v>
      </c>
    </row>
    <row r="580" spans="1:34">
      <c r="A580" s="13" t="str">
        <f t="shared" ref="A580:A643" si="54">IF(OR(Z580=0,LEN(Z580)=0)*OR(AA580=0,LEN(AA580)=0),IF(W580&gt;0,"ZeroZero","None"),IF(IF(LEN(X580)=0,0,X580)&gt;16,"OverStock",IF(Z580=0,"FCST","Normal")))</f>
        <v>Normal</v>
      </c>
      <c r="B580" s="14" t="s">
        <v>585</v>
      </c>
      <c r="C580" s="15" t="s">
        <v>277</v>
      </c>
      <c r="D580" s="19">
        <f t="shared" ref="D580:D643" si="55">IF(Z580=0,"前八週無拉料",ROUND(L580/Z580,1))</f>
        <v>0</v>
      </c>
      <c r="E580" s="16">
        <f t="shared" ref="E580:E643" si="56">IF(OR(AA580=0,LEN(AA580)=0),"--",ROUND(L580/AA580,1))</f>
        <v>0</v>
      </c>
      <c r="F580" s="16">
        <f t="shared" ref="F580:F643" si="57">IF(Z580=0,"--",ROUND(I580/Z580,1))</f>
        <v>1.6</v>
      </c>
      <c r="G580" s="16">
        <f t="shared" ref="G580:G643" si="58">IF(OR(AA580=0,LEN(AA580)=0),"--",ROUND(I580/AA580,1))</f>
        <v>8.1</v>
      </c>
      <c r="H580" s="24" t="str">
        <f>IFERROR(VLOOKUP(B580,#REF!,8,FALSE),"")</f>
        <v/>
      </c>
      <c r="I580" s="17">
        <v>2010000</v>
      </c>
      <c r="J580" s="17">
        <v>2010000</v>
      </c>
      <c r="K580" s="24" t="str">
        <f>IFERROR(VLOOKUP(B580,#REF!,11,FALSE),"")</f>
        <v/>
      </c>
      <c r="L580" s="17">
        <v>10000</v>
      </c>
      <c r="M580" s="6" t="s">
        <v>751</v>
      </c>
      <c r="N580" s="18" t="str">
        <f>IFERROR(VLOOKUP(B580,#REF!,13,FALSE),"")</f>
        <v/>
      </c>
      <c r="O580" s="19" t="str">
        <f>IFERROR(VLOOKUP(B580,#REF!,14,FALSE),"")</f>
        <v/>
      </c>
      <c r="P580" s="19" t="str">
        <f>IFERROR(VLOOKUP(B580,#REF!,15,FALSE),"")</f>
        <v/>
      </c>
      <c r="Q580" s="19"/>
      <c r="R580" s="25" t="str">
        <f>IFERROR(VLOOKUP(B580,#REF!,16,FALSE),"")</f>
        <v/>
      </c>
      <c r="S580" s="17">
        <v>0</v>
      </c>
      <c r="T580" s="17">
        <v>10000</v>
      </c>
      <c r="U580" s="17">
        <v>0</v>
      </c>
      <c r="V580" s="17">
        <v>0</v>
      </c>
      <c r="W580" s="20">
        <v>2020000</v>
      </c>
      <c r="X580" s="16">
        <v>1.6</v>
      </c>
      <c r="Y580" s="21">
        <v>8.1999999999999993</v>
      </c>
      <c r="Z580" s="20">
        <v>1242500</v>
      </c>
      <c r="AA580" s="17">
        <v>246667</v>
      </c>
      <c r="AB580" s="22">
        <v>0.2</v>
      </c>
      <c r="AC580" s="23">
        <f t="shared" ref="AC580:AC643" si="59">IF($AB580="E","E",IF($AB580="F","F",IF($AB580&lt;0.5,50,IF($AB580&lt;2,100,150))))</f>
        <v>50</v>
      </c>
      <c r="AD580" s="17">
        <v>2180000</v>
      </c>
      <c r="AE580" s="17">
        <v>40000</v>
      </c>
      <c r="AF580" s="17">
        <v>0</v>
      </c>
      <c r="AG580" s="17">
        <v>0</v>
      </c>
      <c r="AH580" s="15" t="s">
        <v>42</v>
      </c>
    </row>
    <row r="581" spans="1:34">
      <c r="A581" s="13" t="str">
        <f t="shared" si="54"/>
        <v>OverStock</v>
      </c>
      <c r="B581" s="14" t="s">
        <v>586</v>
      </c>
      <c r="C581" s="15" t="s">
        <v>277</v>
      </c>
      <c r="D581" s="19">
        <f t="shared" si="55"/>
        <v>0</v>
      </c>
      <c r="E581" s="16">
        <f t="shared" si="56"/>
        <v>0</v>
      </c>
      <c r="F581" s="16">
        <f t="shared" si="57"/>
        <v>253</v>
      </c>
      <c r="G581" s="16">
        <f t="shared" si="58"/>
        <v>50387</v>
      </c>
      <c r="H581" s="24" t="str">
        <f>IFERROR(VLOOKUP(B581,#REF!,8,FALSE),"")</f>
        <v/>
      </c>
      <c r="I581" s="17">
        <v>55980000</v>
      </c>
      <c r="J581" s="17">
        <v>0</v>
      </c>
      <c r="K581" s="24" t="str">
        <f>IFERROR(VLOOKUP(B581,#REF!,11,FALSE),"")</f>
        <v/>
      </c>
      <c r="L581" s="17">
        <v>0</v>
      </c>
      <c r="M581" s="6" t="s">
        <v>758</v>
      </c>
      <c r="N581" s="18" t="str">
        <f>IFERROR(VLOOKUP(B581,#REF!,13,FALSE),"")</f>
        <v/>
      </c>
      <c r="O581" s="19" t="str">
        <f>IFERROR(VLOOKUP(B581,#REF!,14,FALSE),"")</f>
        <v/>
      </c>
      <c r="P581" s="19" t="str">
        <f>IFERROR(VLOOKUP(B581,#REF!,15,FALSE),"")</f>
        <v/>
      </c>
      <c r="Q581" s="19"/>
      <c r="R581" s="25" t="str">
        <f>IFERROR(VLOOKUP(B581,#REF!,16,FALSE),"")</f>
        <v/>
      </c>
      <c r="S581" s="17">
        <v>0</v>
      </c>
      <c r="T581" s="17">
        <v>0</v>
      </c>
      <c r="U581" s="17">
        <v>0</v>
      </c>
      <c r="V581" s="17">
        <v>0</v>
      </c>
      <c r="W581" s="20">
        <v>55980000</v>
      </c>
      <c r="X581" s="16">
        <v>253</v>
      </c>
      <c r="Y581" s="21">
        <v>50387</v>
      </c>
      <c r="Z581" s="20">
        <v>221250</v>
      </c>
      <c r="AA581" s="17">
        <v>1111</v>
      </c>
      <c r="AB581" s="22">
        <v>0</v>
      </c>
      <c r="AC581" s="23">
        <f t="shared" si="59"/>
        <v>50</v>
      </c>
      <c r="AD581" s="17">
        <v>0</v>
      </c>
      <c r="AE581" s="17">
        <v>0</v>
      </c>
      <c r="AF581" s="17">
        <v>20000</v>
      </c>
      <c r="AG581" s="17">
        <v>0</v>
      </c>
      <c r="AH581" s="15" t="s">
        <v>42</v>
      </c>
    </row>
    <row r="582" spans="1:34">
      <c r="A582" s="13" t="str">
        <f t="shared" si="54"/>
        <v>Normal</v>
      </c>
      <c r="B582" s="14" t="s">
        <v>587</v>
      </c>
      <c r="C582" s="15" t="s">
        <v>277</v>
      </c>
      <c r="D582" s="19">
        <f t="shared" si="55"/>
        <v>0</v>
      </c>
      <c r="E582" s="16" t="str">
        <f t="shared" si="56"/>
        <v>--</v>
      </c>
      <c r="F582" s="16">
        <f t="shared" si="57"/>
        <v>4</v>
      </c>
      <c r="G582" s="16" t="str">
        <f t="shared" si="58"/>
        <v>--</v>
      </c>
      <c r="H582" s="24" t="str">
        <f>IFERROR(VLOOKUP(B582,#REF!,8,FALSE),"")</f>
        <v/>
      </c>
      <c r="I582" s="17">
        <v>9000</v>
      </c>
      <c r="J582" s="17">
        <v>0</v>
      </c>
      <c r="K582" s="24" t="str">
        <f>IFERROR(VLOOKUP(B582,#REF!,11,FALSE),"")</f>
        <v/>
      </c>
      <c r="L582" s="17">
        <v>0</v>
      </c>
      <c r="M582" s="6" t="s">
        <v>766</v>
      </c>
      <c r="N582" s="18" t="str">
        <f>IFERROR(VLOOKUP(B582,#REF!,13,FALSE),"")</f>
        <v/>
      </c>
      <c r="O582" s="19" t="str">
        <f>IFERROR(VLOOKUP(B582,#REF!,14,FALSE),"")</f>
        <v/>
      </c>
      <c r="P582" s="19" t="str">
        <f>IFERROR(VLOOKUP(B582,#REF!,15,FALSE),"")</f>
        <v/>
      </c>
      <c r="Q582" s="19"/>
      <c r="R582" s="25" t="str">
        <f>IFERROR(VLOOKUP(B582,#REF!,16,FALSE),"")</f>
        <v/>
      </c>
      <c r="S582" s="17">
        <v>0</v>
      </c>
      <c r="T582" s="17">
        <v>0</v>
      </c>
      <c r="U582" s="17">
        <v>0</v>
      </c>
      <c r="V582" s="17">
        <v>0</v>
      </c>
      <c r="W582" s="20">
        <v>9000</v>
      </c>
      <c r="X582" s="16">
        <v>4</v>
      </c>
      <c r="Y582" s="21" t="s">
        <v>40</v>
      </c>
      <c r="Z582" s="20">
        <v>2250</v>
      </c>
      <c r="AA582" s="17">
        <v>0</v>
      </c>
      <c r="AB582" s="22" t="s">
        <v>41</v>
      </c>
      <c r="AC582" s="23" t="str">
        <f t="shared" si="59"/>
        <v>E</v>
      </c>
      <c r="AD582" s="17">
        <v>0</v>
      </c>
      <c r="AE582" s="17">
        <v>0</v>
      </c>
      <c r="AF582" s="17">
        <v>0</v>
      </c>
      <c r="AG582" s="17">
        <v>0</v>
      </c>
      <c r="AH582" s="15" t="s">
        <v>42</v>
      </c>
    </row>
    <row r="583" spans="1:34">
      <c r="A583" s="13" t="str">
        <f t="shared" si="54"/>
        <v>OverStock</v>
      </c>
      <c r="B583" s="14" t="s">
        <v>588</v>
      </c>
      <c r="C583" s="15" t="s">
        <v>277</v>
      </c>
      <c r="D583" s="19">
        <f t="shared" si="55"/>
        <v>17.3</v>
      </c>
      <c r="E583" s="16">
        <f t="shared" si="56"/>
        <v>18.899999999999999</v>
      </c>
      <c r="F583" s="16">
        <f t="shared" si="57"/>
        <v>3.3</v>
      </c>
      <c r="G583" s="16">
        <f t="shared" si="58"/>
        <v>3.6</v>
      </c>
      <c r="H583" s="24" t="str">
        <f>IFERROR(VLOOKUP(B583,#REF!,8,FALSE),"")</f>
        <v/>
      </c>
      <c r="I583" s="17">
        <v>60000</v>
      </c>
      <c r="J583" s="17">
        <v>60000</v>
      </c>
      <c r="K583" s="24" t="str">
        <f>IFERROR(VLOOKUP(B583,#REF!,11,FALSE),"")</f>
        <v/>
      </c>
      <c r="L583" s="17">
        <v>312000</v>
      </c>
      <c r="M583" s="6" t="s">
        <v>753</v>
      </c>
      <c r="N583" s="18" t="str">
        <f>IFERROR(VLOOKUP(B583,#REF!,13,FALSE),"")</f>
        <v/>
      </c>
      <c r="O583" s="19" t="str">
        <f>IFERROR(VLOOKUP(B583,#REF!,14,FALSE),"")</f>
        <v/>
      </c>
      <c r="P583" s="19" t="str">
        <f>IFERROR(VLOOKUP(B583,#REF!,15,FALSE),"")</f>
        <v/>
      </c>
      <c r="Q583" s="19"/>
      <c r="R583" s="25" t="str">
        <f>IFERROR(VLOOKUP(B583,#REF!,16,FALSE),"")</f>
        <v/>
      </c>
      <c r="S583" s="17">
        <v>0</v>
      </c>
      <c r="T583" s="17">
        <v>264000</v>
      </c>
      <c r="U583" s="17">
        <v>48000</v>
      </c>
      <c r="V583" s="17">
        <v>0</v>
      </c>
      <c r="W583" s="20">
        <v>372000</v>
      </c>
      <c r="X583" s="16">
        <v>20.7</v>
      </c>
      <c r="Y583" s="21">
        <v>22.6</v>
      </c>
      <c r="Z583" s="20">
        <v>18000</v>
      </c>
      <c r="AA583" s="17">
        <v>16482</v>
      </c>
      <c r="AB583" s="22">
        <v>0.9</v>
      </c>
      <c r="AC583" s="23">
        <f t="shared" si="59"/>
        <v>100</v>
      </c>
      <c r="AD583" s="17">
        <v>27358</v>
      </c>
      <c r="AE583" s="17">
        <v>80292</v>
      </c>
      <c r="AF583" s="17">
        <v>51556</v>
      </c>
      <c r="AG583" s="17">
        <v>22692</v>
      </c>
      <c r="AH583" s="15" t="s">
        <v>42</v>
      </c>
    </row>
    <row r="584" spans="1:34">
      <c r="A584" s="13" t="str">
        <f t="shared" si="54"/>
        <v>Normal</v>
      </c>
      <c r="B584" s="14" t="s">
        <v>589</v>
      </c>
      <c r="C584" s="15" t="s">
        <v>277</v>
      </c>
      <c r="D584" s="19">
        <f t="shared" si="55"/>
        <v>2.9</v>
      </c>
      <c r="E584" s="16">
        <f t="shared" si="56"/>
        <v>2.6</v>
      </c>
      <c r="F584" s="16">
        <f t="shared" si="57"/>
        <v>9.9</v>
      </c>
      <c r="G584" s="16">
        <f t="shared" si="58"/>
        <v>8.6999999999999993</v>
      </c>
      <c r="H584" s="24" t="str">
        <f>IFERROR(VLOOKUP(B584,#REF!,8,FALSE),"")</f>
        <v/>
      </c>
      <c r="I584" s="17">
        <v>174000</v>
      </c>
      <c r="J584" s="17">
        <v>24000</v>
      </c>
      <c r="K584" s="24" t="str">
        <f>IFERROR(VLOOKUP(B584,#REF!,11,FALSE),"")</f>
        <v/>
      </c>
      <c r="L584" s="17">
        <v>51000</v>
      </c>
      <c r="M584" s="6" t="s">
        <v>758</v>
      </c>
      <c r="N584" s="18" t="str">
        <f>IFERROR(VLOOKUP(B584,#REF!,13,FALSE),"")</f>
        <v/>
      </c>
      <c r="O584" s="19" t="str">
        <f>IFERROR(VLOOKUP(B584,#REF!,14,FALSE),"")</f>
        <v/>
      </c>
      <c r="P584" s="19" t="str">
        <f>IFERROR(VLOOKUP(B584,#REF!,15,FALSE),"")</f>
        <v/>
      </c>
      <c r="Q584" s="19"/>
      <c r="R584" s="25" t="str">
        <f>IFERROR(VLOOKUP(B584,#REF!,16,FALSE),"")</f>
        <v/>
      </c>
      <c r="S584" s="17">
        <v>0</v>
      </c>
      <c r="T584" s="17">
        <v>51000</v>
      </c>
      <c r="U584" s="17">
        <v>0</v>
      </c>
      <c r="V584" s="17">
        <v>0</v>
      </c>
      <c r="W584" s="20">
        <v>225000</v>
      </c>
      <c r="X584" s="16">
        <v>12.8</v>
      </c>
      <c r="Y584" s="21">
        <v>11.3</v>
      </c>
      <c r="Z584" s="20">
        <v>17625</v>
      </c>
      <c r="AA584" s="17">
        <v>20000</v>
      </c>
      <c r="AB584" s="22">
        <v>1.1000000000000001</v>
      </c>
      <c r="AC584" s="23">
        <f t="shared" si="59"/>
        <v>100</v>
      </c>
      <c r="AD584" s="17">
        <v>0</v>
      </c>
      <c r="AE584" s="17">
        <v>108000</v>
      </c>
      <c r="AF584" s="17">
        <v>72000</v>
      </c>
      <c r="AG584" s="17">
        <v>78000</v>
      </c>
      <c r="AH584" s="15" t="s">
        <v>42</v>
      </c>
    </row>
    <row r="585" spans="1:34">
      <c r="A585" s="13" t="str">
        <f t="shared" si="54"/>
        <v>ZeroZero</v>
      </c>
      <c r="B585" s="14" t="s">
        <v>592</v>
      </c>
      <c r="C585" s="15" t="s">
        <v>277</v>
      </c>
      <c r="D585" s="19" t="str">
        <f t="shared" si="55"/>
        <v>前八週無拉料</v>
      </c>
      <c r="E585" s="16" t="str">
        <f t="shared" si="56"/>
        <v>--</v>
      </c>
      <c r="F585" s="16" t="str">
        <f t="shared" si="57"/>
        <v>--</v>
      </c>
      <c r="G585" s="16" t="str">
        <f t="shared" si="58"/>
        <v>--</v>
      </c>
      <c r="H585" s="24" t="str">
        <f>IFERROR(VLOOKUP(B585,#REF!,8,FALSE),"")</f>
        <v/>
      </c>
      <c r="I585" s="17">
        <v>75000</v>
      </c>
      <c r="J585" s="17">
        <v>0</v>
      </c>
      <c r="K585" s="24" t="str">
        <f>IFERROR(VLOOKUP(B585,#REF!,11,FALSE),"")</f>
        <v/>
      </c>
      <c r="L585" s="17">
        <v>30000</v>
      </c>
      <c r="M585" s="6" t="s">
        <v>752</v>
      </c>
      <c r="N585" s="18" t="str">
        <f>IFERROR(VLOOKUP(B585,#REF!,13,FALSE),"")</f>
        <v/>
      </c>
      <c r="O585" s="19" t="str">
        <f>IFERROR(VLOOKUP(B585,#REF!,14,FALSE),"")</f>
        <v/>
      </c>
      <c r="P585" s="19" t="str">
        <f>IFERROR(VLOOKUP(B585,#REF!,15,FALSE),"")</f>
        <v/>
      </c>
      <c r="Q585" s="19"/>
      <c r="R585" s="25" t="str">
        <f>IFERROR(VLOOKUP(B585,#REF!,16,FALSE),"")</f>
        <v/>
      </c>
      <c r="S585" s="17">
        <v>0</v>
      </c>
      <c r="T585" s="17">
        <v>30000</v>
      </c>
      <c r="U585" s="17">
        <v>0</v>
      </c>
      <c r="V585" s="17">
        <v>0</v>
      </c>
      <c r="W585" s="20">
        <v>105000</v>
      </c>
      <c r="X585" s="16" t="s">
        <v>40</v>
      </c>
      <c r="Y585" s="21" t="s">
        <v>40</v>
      </c>
      <c r="Z585" s="20">
        <v>0</v>
      </c>
      <c r="AA585" s="17" t="s">
        <v>40</v>
      </c>
      <c r="AB585" s="22" t="s">
        <v>41</v>
      </c>
      <c r="AC585" s="23" t="str">
        <f t="shared" si="59"/>
        <v>E</v>
      </c>
      <c r="AD585" s="17">
        <v>0</v>
      </c>
      <c r="AE585" s="17">
        <v>0</v>
      </c>
      <c r="AF585" s="17">
        <v>0</v>
      </c>
      <c r="AG585" s="17">
        <v>0</v>
      </c>
      <c r="AH585" s="15" t="s">
        <v>42</v>
      </c>
    </row>
    <row r="586" spans="1:34">
      <c r="A586" s="13" t="str">
        <f t="shared" si="54"/>
        <v>OverStock</v>
      </c>
      <c r="B586" s="14" t="s">
        <v>593</v>
      </c>
      <c r="C586" s="15" t="s">
        <v>277</v>
      </c>
      <c r="D586" s="19">
        <f t="shared" si="55"/>
        <v>19.899999999999999</v>
      </c>
      <c r="E586" s="16">
        <f t="shared" si="56"/>
        <v>60.1</v>
      </c>
      <c r="F586" s="16">
        <f t="shared" si="57"/>
        <v>3.2</v>
      </c>
      <c r="G586" s="16">
        <f t="shared" si="58"/>
        <v>9.6</v>
      </c>
      <c r="H586" s="24" t="str">
        <f>IFERROR(VLOOKUP(B586,#REF!,8,FALSE),"")</f>
        <v/>
      </c>
      <c r="I586" s="17">
        <v>90000</v>
      </c>
      <c r="J586" s="17">
        <v>90000</v>
      </c>
      <c r="K586" s="24" t="str">
        <f>IFERROR(VLOOKUP(B586,#REF!,11,FALSE),"")</f>
        <v/>
      </c>
      <c r="L586" s="17">
        <v>561000</v>
      </c>
      <c r="M586" s="6" t="s">
        <v>764</v>
      </c>
      <c r="N586" s="18" t="str">
        <f>IFERROR(VLOOKUP(B586,#REF!,13,FALSE),"")</f>
        <v/>
      </c>
      <c r="O586" s="19" t="str">
        <f>IFERROR(VLOOKUP(B586,#REF!,14,FALSE),"")</f>
        <v/>
      </c>
      <c r="P586" s="19" t="str">
        <f>IFERROR(VLOOKUP(B586,#REF!,15,FALSE),"")</f>
        <v/>
      </c>
      <c r="Q586" s="19"/>
      <c r="R586" s="25" t="str">
        <f>IFERROR(VLOOKUP(B586,#REF!,16,FALSE),"")</f>
        <v/>
      </c>
      <c r="S586" s="17">
        <v>0</v>
      </c>
      <c r="T586" s="17">
        <v>552000</v>
      </c>
      <c r="U586" s="17">
        <v>9000</v>
      </c>
      <c r="V586" s="17">
        <v>0</v>
      </c>
      <c r="W586" s="20">
        <v>651000</v>
      </c>
      <c r="X586" s="16">
        <v>23.1</v>
      </c>
      <c r="Y586" s="21">
        <v>69.8</v>
      </c>
      <c r="Z586" s="20">
        <v>28125</v>
      </c>
      <c r="AA586" s="17">
        <v>9333</v>
      </c>
      <c r="AB586" s="22">
        <v>0.3</v>
      </c>
      <c r="AC586" s="23">
        <f t="shared" si="59"/>
        <v>50</v>
      </c>
      <c r="AD586" s="17">
        <v>50346</v>
      </c>
      <c r="AE586" s="17">
        <v>84000</v>
      </c>
      <c r="AF586" s="17">
        <v>0</v>
      </c>
      <c r="AG586" s="17">
        <v>0</v>
      </c>
      <c r="AH586" s="15" t="s">
        <v>42</v>
      </c>
    </row>
    <row r="587" spans="1:34">
      <c r="A587" s="13" t="str">
        <f t="shared" si="54"/>
        <v>Normal</v>
      </c>
      <c r="B587" s="14" t="s">
        <v>594</v>
      </c>
      <c r="C587" s="15" t="s">
        <v>277</v>
      </c>
      <c r="D587" s="19">
        <f t="shared" si="55"/>
        <v>0</v>
      </c>
      <c r="E587" s="16">
        <f t="shared" si="56"/>
        <v>0</v>
      </c>
      <c r="F587" s="16">
        <f t="shared" si="57"/>
        <v>1.8</v>
      </c>
      <c r="G587" s="16">
        <f t="shared" si="58"/>
        <v>9</v>
      </c>
      <c r="H587" s="24" t="str">
        <f>IFERROR(VLOOKUP(B587,#REF!,8,FALSE),"")</f>
        <v/>
      </c>
      <c r="I587" s="17">
        <v>6000</v>
      </c>
      <c r="J587" s="17">
        <v>0</v>
      </c>
      <c r="K587" s="24" t="str">
        <f>IFERROR(VLOOKUP(B587,#REF!,11,FALSE),"")</f>
        <v/>
      </c>
      <c r="L587" s="17">
        <v>0</v>
      </c>
      <c r="M587" s="6" t="s">
        <v>751</v>
      </c>
      <c r="N587" s="18" t="str">
        <f>IFERROR(VLOOKUP(B587,#REF!,13,FALSE),"")</f>
        <v/>
      </c>
      <c r="O587" s="19" t="str">
        <f>IFERROR(VLOOKUP(B587,#REF!,14,FALSE),"")</f>
        <v/>
      </c>
      <c r="P587" s="19" t="str">
        <f>IFERROR(VLOOKUP(B587,#REF!,15,FALSE),"")</f>
        <v/>
      </c>
      <c r="Q587" s="19"/>
      <c r="R587" s="25" t="str">
        <f>IFERROR(VLOOKUP(B587,#REF!,16,FALSE),"")</f>
        <v/>
      </c>
      <c r="S587" s="17">
        <v>0</v>
      </c>
      <c r="T587" s="17">
        <v>0</v>
      </c>
      <c r="U587" s="17">
        <v>0</v>
      </c>
      <c r="V587" s="17">
        <v>0</v>
      </c>
      <c r="W587" s="20">
        <v>6000</v>
      </c>
      <c r="X587" s="16">
        <v>1.8</v>
      </c>
      <c r="Y587" s="21">
        <v>9</v>
      </c>
      <c r="Z587" s="20">
        <v>3375</v>
      </c>
      <c r="AA587" s="17">
        <v>667</v>
      </c>
      <c r="AB587" s="22">
        <v>0.2</v>
      </c>
      <c r="AC587" s="23">
        <f t="shared" si="59"/>
        <v>50</v>
      </c>
      <c r="AD587" s="17">
        <v>0</v>
      </c>
      <c r="AE587" s="17">
        <v>0</v>
      </c>
      <c r="AF587" s="17">
        <v>6000</v>
      </c>
      <c r="AG587" s="17">
        <v>0</v>
      </c>
      <c r="AH587" s="15" t="s">
        <v>42</v>
      </c>
    </row>
    <row r="588" spans="1:34">
      <c r="A588" s="13" t="str">
        <f t="shared" si="54"/>
        <v>OverStock</v>
      </c>
      <c r="B588" s="14" t="s">
        <v>595</v>
      </c>
      <c r="C588" s="15" t="s">
        <v>277</v>
      </c>
      <c r="D588" s="19">
        <f t="shared" si="55"/>
        <v>4.8</v>
      </c>
      <c r="E588" s="16">
        <f t="shared" si="56"/>
        <v>1.1000000000000001</v>
      </c>
      <c r="F588" s="16">
        <f t="shared" si="57"/>
        <v>14.4</v>
      </c>
      <c r="G588" s="16">
        <f t="shared" si="58"/>
        <v>3.4</v>
      </c>
      <c r="H588" s="24" t="str">
        <f>IFERROR(VLOOKUP(B588,#REF!,8,FALSE),"")</f>
        <v/>
      </c>
      <c r="I588" s="17">
        <v>54000</v>
      </c>
      <c r="J588" s="17">
        <v>36000</v>
      </c>
      <c r="K588" s="24" t="str">
        <f>IFERROR(VLOOKUP(B588,#REF!,11,FALSE),"")</f>
        <v/>
      </c>
      <c r="L588" s="17">
        <v>18000</v>
      </c>
      <c r="M588" s="6" t="s">
        <v>766</v>
      </c>
      <c r="N588" s="18" t="str">
        <f>IFERROR(VLOOKUP(B588,#REF!,13,FALSE),"")</f>
        <v/>
      </c>
      <c r="O588" s="19" t="str">
        <f>IFERROR(VLOOKUP(B588,#REF!,14,FALSE),"")</f>
        <v/>
      </c>
      <c r="P588" s="19" t="str">
        <f>IFERROR(VLOOKUP(B588,#REF!,15,FALSE),"")</f>
        <v/>
      </c>
      <c r="Q588" s="19"/>
      <c r="R588" s="25" t="str">
        <f>IFERROR(VLOOKUP(B588,#REF!,16,FALSE),"")</f>
        <v/>
      </c>
      <c r="S588" s="17">
        <v>0</v>
      </c>
      <c r="T588" s="17">
        <v>18000</v>
      </c>
      <c r="U588" s="17">
        <v>0</v>
      </c>
      <c r="V588" s="17">
        <v>0</v>
      </c>
      <c r="W588" s="20">
        <v>72000</v>
      </c>
      <c r="X588" s="16">
        <v>19.2</v>
      </c>
      <c r="Y588" s="21">
        <v>4.5999999999999996</v>
      </c>
      <c r="Z588" s="20">
        <v>3750</v>
      </c>
      <c r="AA588" s="17">
        <v>15666</v>
      </c>
      <c r="AB588" s="22">
        <v>4.2</v>
      </c>
      <c r="AC588" s="23">
        <f t="shared" si="59"/>
        <v>150</v>
      </c>
      <c r="AD588" s="17">
        <v>30000</v>
      </c>
      <c r="AE588" s="17">
        <v>99000</v>
      </c>
      <c r="AF588" s="17">
        <v>12000</v>
      </c>
      <c r="AG588" s="17">
        <v>0</v>
      </c>
      <c r="AH588" s="15" t="s">
        <v>42</v>
      </c>
    </row>
    <row r="589" spans="1:34">
      <c r="A589" s="13" t="str">
        <f t="shared" si="54"/>
        <v>FCST</v>
      </c>
      <c r="B589" s="14" t="s">
        <v>597</v>
      </c>
      <c r="C589" s="15" t="s">
        <v>277</v>
      </c>
      <c r="D589" s="19" t="str">
        <f t="shared" si="55"/>
        <v>前八週無拉料</v>
      </c>
      <c r="E589" s="16">
        <f t="shared" si="56"/>
        <v>0</v>
      </c>
      <c r="F589" s="16" t="str">
        <f t="shared" si="57"/>
        <v>--</v>
      </c>
      <c r="G589" s="16">
        <f t="shared" si="58"/>
        <v>0</v>
      </c>
      <c r="H589" s="24" t="str">
        <f>IFERROR(VLOOKUP(B589,#REF!,8,FALSE),"")</f>
        <v/>
      </c>
      <c r="I589" s="17">
        <v>0</v>
      </c>
      <c r="J589" s="17">
        <v>0</v>
      </c>
      <c r="K589" s="24" t="str">
        <f>IFERROR(VLOOKUP(B589,#REF!,11,FALSE),"")</f>
        <v/>
      </c>
      <c r="L589" s="17">
        <v>0</v>
      </c>
      <c r="M589" s="6" t="s">
        <v>748</v>
      </c>
      <c r="N589" s="18" t="str">
        <f>IFERROR(VLOOKUP(B589,#REF!,13,FALSE),"")</f>
        <v/>
      </c>
      <c r="O589" s="19" t="str">
        <f>IFERROR(VLOOKUP(B589,#REF!,14,FALSE),"")</f>
        <v/>
      </c>
      <c r="P589" s="19" t="str">
        <f>IFERROR(VLOOKUP(B589,#REF!,15,FALSE),"")</f>
        <v/>
      </c>
      <c r="Q589" s="19"/>
      <c r="R589" s="25" t="str">
        <f>IFERROR(VLOOKUP(B589,#REF!,16,FALSE),"")</f>
        <v/>
      </c>
      <c r="S589" s="17">
        <v>0</v>
      </c>
      <c r="T589" s="17">
        <v>0</v>
      </c>
      <c r="U589" s="17">
        <v>0</v>
      </c>
      <c r="V589" s="17">
        <v>0</v>
      </c>
      <c r="W589" s="20">
        <v>0</v>
      </c>
      <c r="X589" s="16" t="s">
        <v>40</v>
      </c>
      <c r="Y589" s="21">
        <v>0</v>
      </c>
      <c r="Z589" s="20">
        <v>0</v>
      </c>
      <c r="AA589" s="17">
        <v>1111</v>
      </c>
      <c r="AB589" s="22" t="s">
        <v>51</v>
      </c>
      <c r="AC589" s="23" t="str">
        <f t="shared" si="59"/>
        <v>F</v>
      </c>
      <c r="AD589" s="17">
        <v>0</v>
      </c>
      <c r="AE589" s="17">
        <v>10000</v>
      </c>
      <c r="AF589" s="17">
        <v>0</v>
      </c>
      <c r="AG589" s="17">
        <v>0</v>
      </c>
      <c r="AH589" s="15" t="s">
        <v>42</v>
      </c>
    </row>
    <row r="590" spans="1:34">
      <c r="A590" s="13" t="str">
        <f t="shared" si="54"/>
        <v>OverStock</v>
      </c>
      <c r="B590" s="14" t="s">
        <v>600</v>
      </c>
      <c r="C590" s="15" t="s">
        <v>277</v>
      </c>
      <c r="D590" s="19">
        <f t="shared" si="55"/>
        <v>1</v>
      </c>
      <c r="E590" s="16" t="str">
        <f t="shared" si="56"/>
        <v>--</v>
      </c>
      <c r="F590" s="16">
        <f t="shared" si="57"/>
        <v>50</v>
      </c>
      <c r="G590" s="16" t="str">
        <f t="shared" si="58"/>
        <v>--</v>
      </c>
      <c r="H590" s="24" t="str">
        <f>IFERROR(VLOOKUP(B590,#REF!,8,FALSE),"")</f>
        <v/>
      </c>
      <c r="I590" s="17">
        <v>250000</v>
      </c>
      <c r="J590" s="17">
        <v>0</v>
      </c>
      <c r="K590" s="24" t="str">
        <f>IFERROR(VLOOKUP(B590,#REF!,11,FALSE),"")</f>
        <v/>
      </c>
      <c r="L590" s="17">
        <v>5000</v>
      </c>
      <c r="M590" s="6" t="s">
        <v>748</v>
      </c>
      <c r="N590" s="18" t="str">
        <f>IFERROR(VLOOKUP(B590,#REF!,13,FALSE),"")</f>
        <v/>
      </c>
      <c r="O590" s="19" t="str">
        <f>IFERROR(VLOOKUP(B590,#REF!,14,FALSE),"")</f>
        <v/>
      </c>
      <c r="P590" s="19" t="str">
        <f>IFERROR(VLOOKUP(B590,#REF!,15,FALSE),"")</f>
        <v/>
      </c>
      <c r="Q590" s="19"/>
      <c r="R590" s="25" t="str">
        <f>IFERROR(VLOOKUP(B590,#REF!,16,FALSE),"")</f>
        <v/>
      </c>
      <c r="S590" s="17">
        <v>0</v>
      </c>
      <c r="T590" s="17">
        <v>5000</v>
      </c>
      <c r="U590" s="17">
        <v>0</v>
      </c>
      <c r="V590" s="17">
        <v>0</v>
      </c>
      <c r="W590" s="20">
        <v>255000</v>
      </c>
      <c r="X590" s="16">
        <v>51</v>
      </c>
      <c r="Y590" s="21" t="s">
        <v>40</v>
      </c>
      <c r="Z590" s="20">
        <v>5000</v>
      </c>
      <c r="AA590" s="17">
        <v>0</v>
      </c>
      <c r="AB590" s="22" t="s">
        <v>41</v>
      </c>
      <c r="AC590" s="23" t="str">
        <f t="shared" si="59"/>
        <v>E</v>
      </c>
      <c r="AD590" s="17">
        <v>246000</v>
      </c>
      <c r="AE590" s="17">
        <v>0</v>
      </c>
      <c r="AF590" s="17">
        <v>0</v>
      </c>
      <c r="AG590" s="17">
        <v>0</v>
      </c>
      <c r="AH590" s="15" t="s">
        <v>42</v>
      </c>
    </row>
    <row r="591" spans="1:34">
      <c r="A591" s="13" t="str">
        <f t="shared" si="54"/>
        <v>Normal</v>
      </c>
      <c r="B591" s="14" t="s">
        <v>602</v>
      </c>
      <c r="C591" s="15" t="s">
        <v>277</v>
      </c>
      <c r="D591" s="19">
        <f t="shared" si="55"/>
        <v>9</v>
      </c>
      <c r="E591" s="16">
        <f t="shared" si="56"/>
        <v>9.3000000000000007</v>
      </c>
      <c r="F591" s="16">
        <f t="shared" si="57"/>
        <v>0</v>
      </c>
      <c r="G591" s="16">
        <f t="shared" si="58"/>
        <v>0</v>
      </c>
      <c r="H591" s="24" t="str">
        <f>IFERROR(VLOOKUP(B591,#REF!,8,FALSE),"")</f>
        <v/>
      </c>
      <c r="I591" s="17">
        <v>0</v>
      </c>
      <c r="J591" s="17">
        <v>0</v>
      </c>
      <c r="K591" s="24" t="str">
        <f>IFERROR(VLOOKUP(B591,#REF!,11,FALSE),"")</f>
        <v/>
      </c>
      <c r="L591" s="17">
        <v>84000</v>
      </c>
      <c r="M591" s="6" t="s">
        <v>768</v>
      </c>
      <c r="N591" s="18" t="str">
        <f>IFERROR(VLOOKUP(B591,#REF!,13,FALSE),"")</f>
        <v/>
      </c>
      <c r="O591" s="19" t="str">
        <f>IFERROR(VLOOKUP(B591,#REF!,14,FALSE),"")</f>
        <v/>
      </c>
      <c r="P591" s="19" t="str">
        <f>IFERROR(VLOOKUP(B591,#REF!,15,FALSE),"")</f>
        <v/>
      </c>
      <c r="Q591" s="19"/>
      <c r="R591" s="25" t="str">
        <f>IFERROR(VLOOKUP(B591,#REF!,16,FALSE),"")</f>
        <v/>
      </c>
      <c r="S591" s="17">
        <v>0</v>
      </c>
      <c r="T591" s="17">
        <v>84000</v>
      </c>
      <c r="U591" s="17">
        <v>0</v>
      </c>
      <c r="V591" s="17">
        <v>0</v>
      </c>
      <c r="W591" s="20">
        <v>84000</v>
      </c>
      <c r="X591" s="16">
        <v>9</v>
      </c>
      <c r="Y591" s="21">
        <v>9.3000000000000007</v>
      </c>
      <c r="Z591" s="20">
        <v>9375</v>
      </c>
      <c r="AA591" s="17">
        <v>9000</v>
      </c>
      <c r="AB591" s="22">
        <v>1</v>
      </c>
      <c r="AC591" s="23">
        <f t="shared" si="59"/>
        <v>100</v>
      </c>
      <c r="AD591" s="17">
        <v>21000</v>
      </c>
      <c r="AE591" s="17">
        <v>57000</v>
      </c>
      <c r="AF591" s="17">
        <v>12000</v>
      </c>
      <c r="AG591" s="17">
        <v>15000</v>
      </c>
      <c r="AH591" s="15" t="s">
        <v>42</v>
      </c>
    </row>
    <row r="592" spans="1:34">
      <c r="A592" s="13" t="str">
        <f t="shared" si="54"/>
        <v>OverStock</v>
      </c>
      <c r="B592" s="14" t="s">
        <v>603</v>
      </c>
      <c r="C592" s="15" t="s">
        <v>277</v>
      </c>
      <c r="D592" s="19">
        <f t="shared" si="55"/>
        <v>18.7</v>
      </c>
      <c r="E592" s="16">
        <f t="shared" si="56"/>
        <v>12.6</v>
      </c>
      <c r="F592" s="16">
        <f t="shared" si="57"/>
        <v>0</v>
      </c>
      <c r="G592" s="16">
        <f t="shared" si="58"/>
        <v>0</v>
      </c>
      <c r="H592" s="24" t="str">
        <f>IFERROR(VLOOKUP(B592,#REF!,8,FALSE),"")</f>
        <v/>
      </c>
      <c r="I592" s="17">
        <v>0</v>
      </c>
      <c r="J592" s="17">
        <v>0</v>
      </c>
      <c r="K592" s="24" t="str">
        <f>IFERROR(VLOOKUP(B592,#REF!,11,FALSE),"")</f>
        <v/>
      </c>
      <c r="L592" s="17">
        <v>63000</v>
      </c>
      <c r="M592" s="6" t="s">
        <v>760</v>
      </c>
      <c r="N592" s="18" t="str">
        <f>IFERROR(VLOOKUP(B592,#REF!,13,FALSE),"")</f>
        <v/>
      </c>
      <c r="O592" s="19" t="str">
        <f>IFERROR(VLOOKUP(B592,#REF!,14,FALSE),"")</f>
        <v/>
      </c>
      <c r="P592" s="19" t="str">
        <f>IFERROR(VLOOKUP(B592,#REF!,15,FALSE),"")</f>
        <v/>
      </c>
      <c r="Q592" s="19"/>
      <c r="R592" s="25" t="str">
        <f>IFERROR(VLOOKUP(B592,#REF!,16,FALSE),"")</f>
        <v/>
      </c>
      <c r="S592" s="17">
        <v>0</v>
      </c>
      <c r="T592" s="17">
        <v>63000</v>
      </c>
      <c r="U592" s="17">
        <v>0</v>
      </c>
      <c r="V592" s="17">
        <v>0</v>
      </c>
      <c r="W592" s="20">
        <v>63000</v>
      </c>
      <c r="X592" s="16">
        <v>18.7</v>
      </c>
      <c r="Y592" s="21">
        <v>12.6</v>
      </c>
      <c r="Z592" s="20">
        <v>3375</v>
      </c>
      <c r="AA592" s="17">
        <v>5000</v>
      </c>
      <c r="AB592" s="22">
        <v>1.5</v>
      </c>
      <c r="AC592" s="23">
        <f t="shared" si="59"/>
        <v>100</v>
      </c>
      <c r="AD592" s="17">
        <v>30000</v>
      </c>
      <c r="AE592" s="17">
        <v>24000</v>
      </c>
      <c r="AF592" s="17">
        <v>6000</v>
      </c>
      <c r="AG592" s="17">
        <v>0</v>
      </c>
      <c r="AH592" s="15" t="s">
        <v>42</v>
      </c>
    </row>
    <row r="593" spans="1:34">
      <c r="A593" s="13" t="str">
        <f t="shared" si="54"/>
        <v>FCST</v>
      </c>
      <c r="B593" s="14" t="s">
        <v>604</v>
      </c>
      <c r="C593" s="15" t="s">
        <v>277</v>
      </c>
      <c r="D593" s="19" t="str">
        <f t="shared" si="55"/>
        <v>前八週無拉料</v>
      </c>
      <c r="E593" s="16">
        <f t="shared" si="56"/>
        <v>3.7</v>
      </c>
      <c r="F593" s="16" t="str">
        <f t="shared" si="57"/>
        <v>--</v>
      </c>
      <c r="G593" s="16">
        <f t="shared" si="58"/>
        <v>5.3</v>
      </c>
      <c r="H593" s="24" t="str">
        <f>IFERROR(VLOOKUP(B593,#REF!,8,FALSE),"")</f>
        <v/>
      </c>
      <c r="I593" s="17">
        <v>16440000</v>
      </c>
      <c r="J593" s="17">
        <v>16440000</v>
      </c>
      <c r="K593" s="24" t="str">
        <f>IFERROR(VLOOKUP(B593,#REF!,11,FALSE),"")</f>
        <v/>
      </c>
      <c r="L593" s="17">
        <v>11550000</v>
      </c>
      <c r="M593" s="6" t="s">
        <v>761</v>
      </c>
      <c r="N593" s="18" t="str">
        <f>IFERROR(VLOOKUP(B593,#REF!,13,FALSE),"")</f>
        <v/>
      </c>
      <c r="O593" s="19" t="str">
        <f>IFERROR(VLOOKUP(B593,#REF!,14,FALSE),"")</f>
        <v/>
      </c>
      <c r="P593" s="19" t="str">
        <f>IFERROR(VLOOKUP(B593,#REF!,15,FALSE),"")</f>
        <v/>
      </c>
      <c r="Q593" s="19"/>
      <c r="R593" s="25" t="str">
        <f>IFERROR(VLOOKUP(B593,#REF!,16,FALSE),"")</f>
        <v/>
      </c>
      <c r="S593" s="17">
        <v>0</v>
      </c>
      <c r="T593" s="17">
        <v>11550000</v>
      </c>
      <c r="U593" s="17">
        <v>0</v>
      </c>
      <c r="V593" s="17">
        <v>0</v>
      </c>
      <c r="W593" s="20">
        <v>27990000</v>
      </c>
      <c r="X593" s="16" t="s">
        <v>40</v>
      </c>
      <c r="Y593" s="21">
        <v>9</v>
      </c>
      <c r="Z593" s="20">
        <v>0</v>
      </c>
      <c r="AA593" s="17">
        <v>3110000</v>
      </c>
      <c r="AB593" s="22" t="s">
        <v>51</v>
      </c>
      <c r="AC593" s="23" t="str">
        <f t="shared" si="59"/>
        <v>F</v>
      </c>
      <c r="AD593" s="17">
        <v>2310000</v>
      </c>
      <c r="AE593" s="17">
        <v>25695000</v>
      </c>
      <c r="AF593" s="17">
        <v>0</v>
      </c>
      <c r="AG593" s="17">
        <v>0</v>
      </c>
      <c r="AH593" s="15" t="s">
        <v>42</v>
      </c>
    </row>
    <row r="594" spans="1:34">
      <c r="A594" s="13" t="str">
        <f t="shared" si="54"/>
        <v>Normal</v>
      </c>
      <c r="B594" s="14" t="s">
        <v>605</v>
      </c>
      <c r="C594" s="15" t="s">
        <v>277</v>
      </c>
      <c r="D594" s="19">
        <f t="shared" si="55"/>
        <v>0</v>
      </c>
      <c r="E594" s="16" t="str">
        <f t="shared" si="56"/>
        <v>--</v>
      </c>
      <c r="F594" s="16">
        <f t="shared" si="57"/>
        <v>0</v>
      </c>
      <c r="G594" s="16" t="str">
        <f t="shared" si="58"/>
        <v>--</v>
      </c>
      <c r="H594" s="24" t="str">
        <f>IFERROR(VLOOKUP(B594,#REF!,8,FALSE),"")</f>
        <v/>
      </c>
      <c r="I594" s="17">
        <v>0</v>
      </c>
      <c r="J594" s="17">
        <v>0</v>
      </c>
      <c r="K594" s="24" t="str">
        <f>IFERROR(VLOOKUP(B594,#REF!,11,FALSE),"")</f>
        <v/>
      </c>
      <c r="L594" s="17">
        <v>0</v>
      </c>
      <c r="M594" s="6" t="s">
        <v>749</v>
      </c>
      <c r="N594" s="18" t="str">
        <f>IFERROR(VLOOKUP(B594,#REF!,13,FALSE),"")</f>
        <v/>
      </c>
      <c r="O594" s="19" t="str">
        <f>IFERROR(VLOOKUP(B594,#REF!,14,FALSE),"")</f>
        <v/>
      </c>
      <c r="P594" s="19" t="str">
        <f>IFERROR(VLOOKUP(B594,#REF!,15,FALSE),"")</f>
        <v/>
      </c>
      <c r="Q594" s="19"/>
      <c r="R594" s="25" t="str">
        <f>IFERROR(VLOOKUP(B594,#REF!,16,FALSE),"")</f>
        <v/>
      </c>
      <c r="S594" s="17">
        <v>0</v>
      </c>
      <c r="T594" s="17">
        <v>0</v>
      </c>
      <c r="U594" s="17">
        <v>0</v>
      </c>
      <c r="V594" s="17">
        <v>0</v>
      </c>
      <c r="W594" s="20">
        <v>0</v>
      </c>
      <c r="X594" s="16">
        <v>0</v>
      </c>
      <c r="Y594" s="21" t="s">
        <v>40</v>
      </c>
      <c r="Z594" s="20">
        <v>3750</v>
      </c>
      <c r="AA594" s="17">
        <v>0</v>
      </c>
      <c r="AB594" s="22" t="s">
        <v>41</v>
      </c>
      <c r="AC594" s="23" t="str">
        <f t="shared" si="59"/>
        <v>E</v>
      </c>
      <c r="AD594" s="17">
        <v>0</v>
      </c>
      <c r="AE594" s="17">
        <v>0</v>
      </c>
      <c r="AF594" s="17">
        <v>0</v>
      </c>
      <c r="AG594" s="17">
        <v>10000</v>
      </c>
      <c r="AH594" s="15" t="s">
        <v>42</v>
      </c>
    </row>
    <row r="595" spans="1:34">
      <c r="A595" s="13" t="str">
        <f t="shared" si="54"/>
        <v>Normal</v>
      </c>
      <c r="B595" s="14" t="s">
        <v>606</v>
      </c>
      <c r="C595" s="15" t="s">
        <v>277</v>
      </c>
      <c r="D595" s="19">
        <f t="shared" si="55"/>
        <v>0</v>
      </c>
      <c r="E595" s="16" t="str">
        <f t="shared" si="56"/>
        <v>--</v>
      </c>
      <c r="F595" s="16">
        <f t="shared" si="57"/>
        <v>0</v>
      </c>
      <c r="G595" s="16" t="str">
        <f t="shared" si="58"/>
        <v>--</v>
      </c>
      <c r="H595" s="24" t="str">
        <f>IFERROR(VLOOKUP(B595,#REF!,8,FALSE),"")</f>
        <v/>
      </c>
      <c r="I595" s="17">
        <v>0</v>
      </c>
      <c r="J595" s="17">
        <v>0</v>
      </c>
      <c r="K595" s="24" t="str">
        <f>IFERROR(VLOOKUP(B595,#REF!,11,FALSE),"")</f>
        <v/>
      </c>
      <c r="L595" s="17">
        <v>0</v>
      </c>
      <c r="M595" s="6" t="s">
        <v>751</v>
      </c>
      <c r="N595" s="18" t="str">
        <f>IFERROR(VLOOKUP(B595,#REF!,13,FALSE),"")</f>
        <v/>
      </c>
      <c r="O595" s="19" t="str">
        <f>IFERROR(VLOOKUP(B595,#REF!,14,FALSE),"")</f>
        <v/>
      </c>
      <c r="P595" s="19" t="str">
        <f>IFERROR(VLOOKUP(B595,#REF!,15,FALSE),"")</f>
        <v/>
      </c>
      <c r="Q595" s="19"/>
      <c r="R595" s="25" t="str">
        <f>IFERROR(VLOOKUP(B595,#REF!,16,FALSE),"")</f>
        <v/>
      </c>
      <c r="S595" s="17">
        <v>0</v>
      </c>
      <c r="T595" s="17">
        <v>0</v>
      </c>
      <c r="U595" s="17">
        <v>0</v>
      </c>
      <c r="V595" s="17">
        <v>0</v>
      </c>
      <c r="W595" s="20">
        <v>0</v>
      </c>
      <c r="X595" s="16">
        <v>0</v>
      </c>
      <c r="Y595" s="21" t="s">
        <v>40</v>
      </c>
      <c r="Z595" s="20">
        <v>1250</v>
      </c>
      <c r="AA595" s="17" t="s">
        <v>40</v>
      </c>
      <c r="AB595" s="22" t="s">
        <v>41</v>
      </c>
      <c r="AC595" s="23" t="str">
        <f t="shared" si="59"/>
        <v>E</v>
      </c>
      <c r="AD595" s="17">
        <v>0</v>
      </c>
      <c r="AE595" s="17">
        <v>0</v>
      </c>
      <c r="AF595" s="17">
        <v>0</v>
      </c>
      <c r="AG595" s="17">
        <v>0</v>
      </c>
      <c r="AH595" s="15" t="s">
        <v>42</v>
      </c>
    </row>
    <row r="596" spans="1:34">
      <c r="A596" s="13" t="str">
        <f t="shared" si="54"/>
        <v>Normal</v>
      </c>
      <c r="B596" s="14" t="s">
        <v>607</v>
      </c>
      <c r="C596" s="15" t="s">
        <v>608</v>
      </c>
      <c r="D596" s="19">
        <f t="shared" si="55"/>
        <v>1.1000000000000001</v>
      </c>
      <c r="E596" s="16">
        <f t="shared" si="56"/>
        <v>2.4</v>
      </c>
      <c r="F596" s="16">
        <f t="shared" si="57"/>
        <v>7.9</v>
      </c>
      <c r="G596" s="16">
        <f t="shared" si="58"/>
        <v>16.399999999999999</v>
      </c>
      <c r="H596" s="24" t="str">
        <f>IFERROR(VLOOKUP(B596,#REF!,8,FALSE),"")</f>
        <v/>
      </c>
      <c r="I596" s="17">
        <v>663000</v>
      </c>
      <c r="J596" s="17">
        <v>663000</v>
      </c>
      <c r="K596" s="24" t="str">
        <f>IFERROR(VLOOKUP(B596,#REF!,11,FALSE),"")</f>
        <v/>
      </c>
      <c r="L596" s="17">
        <v>96000</v>
      </c>
      <c r="M596" s="6" t="s">
        <v>758</v>
      </c>
      <c r="N596" s="18" t="str">
        <f>IFERROR(VLOOKUP(B596,#REF!,13,FALSE),"")</f>
        <v/>
      </c>
      <c r="O596" s="19" t="str">
        <f>IFERROR(VLOOKUP(B596,#REF!,14,FALSE),"")</f>
        <v/>
      </c>
      <c r="P596" s="19" t="str">
        <f>IFERROR(VLOOKUP(B596,#REF!,15,FALSE),"")</f>
        <v/>
      </c>
      <c r="Q596" s="19"/>
      <c r="R596" s="25" t="str">
        <f>IFERROR(VLOOKUP(B596,#REF!,16,FALSE),"")</f>
        <v/>
      </c>
      <c r="S596" s="17">
        <v>0</v>
      </c>
      <c r="T596" s="17">
        <v>96000</v>
      </c>
      <c r="U596" s="17">
        <v>0</v>
      </c>
      <c r="V596" s="17">
        <v>0</v>
      </c>
      <c r="W596" s="20">
        <v>759000</v>
      </c>
      <c r="X596" s="16">
        <v>9</v>
      </c>
      <c r="Y596" s="21">
        <v>18.8</v>
      </c>
      <c r="Z596" s="20">
        <v>84375</v>
      </c>
      <c r="AA596" s="17">
        <v>40333</v>
      </c>
      <c r="AB596" s="22">
        <v>0.5</v>
      </c>
      <c r="AC596" s="23">
        <f t="shared" si="59"/>
        <v>100</v>
      </c>
      <c r="AD596" s="17">
        <v>84000</v>
      </c>
      <c r="AE596" s="17">
        <v>150000</v>
      </c>
      <c r="AF596" s="17">
        <v>138000</v>
      </c>
      <c r="AG596" s="17">
        <v>153000</v>
      </c>
      <c r="AH596" s="15" t="s">
        <v>42</v>
      </c>
    </row>
    <row r="597" spans="1:34">
      <c r="A597" s="13" t="str">
        <f t="shared" si="54"/>
        <v>Normal</v>
      </c>
      <c r="B597" s="14" t="s">
        <v>609</v>
      </c>
      <c r="C597" s="15" t="s">
        <v>608</v>
      </c>
      <c r="D597" s="19">
        <f t="shared" si="55"/>
        <v>0</v>
      </c>
      <c r="E597" s="16">
        <f t="shared" si="56"/>
        <v>0</v>
      </c>
      <c r="F597" s="16">
        <f t="shared" si="57"/>
        <v>9</v>
      </c>
      <c r="G597" s="16">
        <f t="shared" si="58"/>
        <v>17.2</v>
      </c>
      <c r="H597" s="24" t="str">
        <f>IFERROR(VLOOKUP(B597,#REF!,8,FALSE),"")</f>
        <v/>
      </c>
      <c r="I597" s="17">
        <v>603000</v>
      </c>
      <c r="J597" s="17">
        <v>603000</v>
      </c>
      <c r="K597" s="24" t="str">
        <f>IFERROR(VLOOKUP(B597,#REF!,11,FALSE),"")</f>
        <v/>
      </c>
      <c r="L597" s="17">
        <v>400</v>
      </c>
      <c r="M597" s="6" t="s">
        <v>758</v>
      </c>
      <c r="N597" s="18" t="str">
        <f>IFERROR(VLOOKUP(B597,#REF!,13,FALSE),"")</f>
        <v/>
      </c>
      <c r="O597" s="19" t="str">
        <f>IFERROR(VLOOKUP(B597,#REF!,14,FALSE),"")</f>
        <v/>
      </c>
      <c r="P597" s="19" t="str">
        <f>IFERROR(VLOOKUP(B597,#REF!,15,FALSE),"")</f>
        <v/>
      </c>
      <c r="Q597" s="19"/>
      <c r="R597" s="25" t="str">
        <f>IFERROR(VLOOKUP(B597,#REF!,16,FALSE),"")</f>
        <v/>
      </c>
      <c r="S597" s="17">
        <v>0</v>
      </c>
      <c r="T597" s="17">
        <v>400</v>
      </c>
      <c r="U597" s="17">
        <v>0</v>
      </c>
      <c r="V597" s="17">
        <v>0</v>
      </c>
      <c r="W597" s="20">
        <v>603400</v>
      </c>
      <c r="X597" s="16">
        <v>9</v>
      </c>
      <c r="Y597" s="21">
        <v>17.2</v>
      </c>
      <c r="Z597" s="20">
        <v>66750</v>
      </c>
      <c r="AA597" s="17">
        <v>35000</v>
      </c>
      <c r="AB597" s="22">
        <v>0.5</v>
      </c>
      <c r="AC597" s="23">
        <f t="shared" si="59"/>
        <v>100</v>
      </c>
      <c r="AD597" s="17">
        <v>132000</v>
      </c>
      <c r="AE597" s="17">
        <v>93000</v>
      </c>
      <c r="AF597" s="17">
        <v>90000</v>
      </c>
      <c r="AG597" s="17">
        <v>0</v>
      </c>
      <c r="AH597" s="15" t="s">
        <v>42</v>
      </c>
    </row>
    <row r="598" spans="1:34">
      <c r="A598" s="13" t="str">
        <f t="shared" si="54"/>
        <v>OverStock</v>
      </c>
      <c r="B598" s="14" t="s">
        <v>611</v>
      </c>
      <c r="C598" s="15" t="s">
        <v>608</v>
      </c>
      <c r="D598" s="19">
        <f t="shared" si="55"/>
        <v>48</v>
      </c>
      <c r="E598" s="16">
        <f t="shared" si="56"/>
        <v>27</v>
      </c>
      <c r="F598" s="16">
        <f t="shared" si="57"/>
        <v>0</v>
      </c>
      <c r="G598" s="16">
        <f t="shared" si="58"/>
        <v>0</v>
      </c>
      <c r="H598" s="24" t="str">
        <f>IFERROR(VLOOKUP(B598,#REF!,8,FALSE),"")</f>
        <v/>
      </c>
      <c r="I598" s="17">
        <v>0</v>
      </c>
      <c r="J598" s="17">
        <v>0</v>
      </c>
      <c r="K598" s="24" t="str">
        <f>IFERROR(VLOOKUP(B598,#REF!,11,FALSE),"")</f>
        <v/>
      </c>
      <c r="L598" s="17">
        <v>18000</v>
      </c>
      <c r="M598" s="6" t="s">
        <v>758</v>
      </c>
      <c r="N598" s="18" t="str">
        <f>IFERROR(VLOOKUP(B598,#REF!,13,FALSE),"")</f>
        <v/>
      </c>
      <c r="O598" s="19" t="str">
        <f>IFERROR(VLOOKUP(B598,#REF!,14,FALSE),"")</f>
        <v/>
      </c>
      <c r="P598" s="19" t="str">
        <f>IFERROR(VLOOKUP(B598,#REF!,15,FALSE),"")</f>
        <v/>
      </c>
      <c r="Q598" s="19"/>
      <c r="R598" s="25" t="str">
        <f>IFERROR(VLOOKUP(B598,#REF!,16,FALSE),"")</f>
        <v/>
      </c>
      <c r="S598" s="17">
        <v>0</v>
      </c>
      <c r="T598" s="17">
        <v>18000</v>
      </c>
      <c r="U598" s="17">
        <v>0</v>
      </c>
      <c r="V598" s="17">
        <v>0</v>
      </c>
      <c r="W598" s="20">
        <v>18000</v>
      </c>
      <c r="X598" s="16">
        <v>48</v>
      </c>
      <c r="Y598" s="21">
        <v>27</v>
      </c>
      <c r="Z598" s="20">
        <v>375</v>
      </c>
      <c r="AA598" s="17">
        <v>667</v>
      </c>
      <c r="AB598" s="22">
        <v>1.8</v>
      </c>
      <c r="AC598" s="23">
        <f t="shared" si="59"/>
        <v>100</v>
      </c>
      <c r="AD598" s="17">
        <v>0</v>
      </c>
      <c r="AE598" s="17">
        <v>6000</v>
      </c>
      <c r="AF598" s="17">
        <v>0</v>
      </c>
      <c r="AG598" s="17">
        <v>0</v>
      </c>
      <c r="AH598" s="15" t="s">
        <v>42</v>
      </c>
    </row>
    <row r="599" spans="1:34">
      <c r="A599" s="13" t="str">
        <f t="shared" si="54"/>
        <v>Normal</v>
      </c>
      <c r="B599" s="14" t="s">
        <v>612</v>
      </c>
      <c r="C599" s="15" t="s">
        <v>608</v>
      </c>
      <c r="D599" s="19">
        <f t="shared" si="55"/>
        <v>1.5</v>
      </c>
      <c r="E599" s="16">
        <f t="shared" si="56"/>
        <v>2.4</v>
      </c>
      <c r="F599" s="16">
        <f t="shared" si="57"/>
        <v>8.8000000000000007</v>
      </c>
      <c r="G599" s="16">
        <f t="shared" si="58"/>
        <v>14.7</v>
      </c>
      <c r="H599" s="24" t="str">
        <f>IFERROR(VLOOKUP(B599,#REF!,8,FALSE),"")</f>
        <v/>
      </c>
      <c r="I599" s="17">
        <v>636000</v>
      </c>
      <c r="J599" s="17">
        <v>636000</v>
      </c>
      <c r="K599" s="24" t="str">
        <f>IFERROR(VLOOKUP(B599,#REF!,11,FALSE),"")</f>
        <v/>
      </c>
      <c r="L599" s="17">
        <v>105000</v>
      </c>
      <c r="M599" s="6" t="s">
        <v>769</v>
      </c>
      <c r="N599" s="18" t="str">
        <f>IFERROR(VLOOKUP(B599,#REF!,13,FALSE),"")</f>
        <v/>
      </c>
      <c r="O599" s="19" t="str">
        <f>IFERROR(VLOOKUP(B599,#REF!,14,FALSE),"")</f>
        <v/>
      </c>
      <c r="P599" s="19" t="str">
        <f>IFERROR(VLOOKUP(B599,#REF!,15,FALSE),"")</f>
        <v/>
      </c>
      <c r="Q599" s="19"/>
      <c r="R599" s="25" t="str">
        <f>IFERROR(VLOOKUP(B599,#REF!,16,FALSE),"")</f>
        <v/>
      </c>
      <c r="S599" s="17">
        <v>0</v>
      </c>
      <c r="T599" s="17">
        <v>105000</v>
      </c>
      <c r="U599" s="17">
        <v>0</v>
      </c>
      <c r="V599" s="17">
        <v>0</v>
      </c>
      <c r="W599" s="20">
        <v>741000</v>
      </c>
      <c r="X599" s="16">
        <v>10.3</v>
      </c>
      <c r="Y599" s="21">
        <v>17.100000000000001</v>
      </c>
      <c r="Z599" s="20">
        <v>72000</v>
      </c>
      <c r="AA599" s="17">
        <v>43333</v>
      </c>
      <c r="AB599" s="22">
        <v>0.6</v>
      </c>
      <c r="AC599" s="23">
        <f t="shared" si="59"/>
        <v>100</v>
      </c>
      <c r="AD599" s="17">
        <v>0</v>
      </c>
      <c r="AE599" s="17">
        <v>231000</v>
      </c>
      <c r="AF599" s="17">
        <v>183000</v>
      </c>
      <c r="AG599" s="17">
        <v>99000</v>
      </c>
      <c r="AH599" s="15" t="s">
        <v>42</v>
      </c>
    </row>
    <row r="600" spans="1:34">
      <c r="A600" s="13" t="str">
        <f t="shared" si="54"/>
        <v>Normal</v>
      </c>
      <c r="B600" s="14" t="s">
        <v>613</v>
      </c>
      <c r="C600" s="15" t="s">
        <v>608</v>
      </c>
      <c r="D600" s="19">
        <f t="shared" si="55"/>
        <v>0.4</v>
      </c>
      <c r="E600" s="16">
        <f t="shared" si="56"/>
        <v>0.6</v>
      </c>
      <c r="F600" s="16">
        <f t="shared" si="57"/>
        <v>7.6</v>
      </c>
      <c r="G600" s="16">
        <f t="shared" si="58"/>
        <v>12.4</v>
      </c>
      <c r="H600" s="24" t="str">
        <f>IFERROR(VLOOKUP(B600,#REF!,8,FALSE),"")</f>
        <v/>
      </c>
      <c r="I600" s="17">
        <v>4800000</v>
      </c>
      <c r="J600" s="17">
        <v>4800000</v>
      </c>
      <c r="K600" s="24" t="str">
        <f>IFERROR(VLOOKUP(B600,#REF!,11,FALSE),"")</f>
        <v/>
      </c>
      <c r="L600" s="17">
        <v>242100</v>
      </c>
      <c r="M600" s="6" t="s">
        <v>769</v>
      </c>
      <c r="N600" s="18" t="str">
        <f>IFERROR(VLOOKUP(B600,#REF!,13,FALSE),"")</f>
        <v/>
      </c>
      <c r="O600" s="19" t="str">
        <f>IFERROR(VLOOKUP(B600,#REF!,14,FALSE),"")</f>
        <v/>
      </c>
      <c r="P600" s="19" t="str">
        <f>IFERROR(VLOOKUP(B600,#REF!,15,FALSE),"")</f>
        <v/>
      </c>
      <c r="Q600" s="19"/>
      <c r="R600" s="25" t="str">
        <f>IFERROR(VLOOKUP(B600,#REF!,16,FALSE),"")</f>
        <v/>
      </c>
      <c r="S600" s="17">
        <v>0</v>
      </c>
      <c r="T600" s="17">
        <v>242100</v>
      </c>
      <c r="U600" s="17">
        <v>0</v>
      </c>
      <c r="V600" s="17">
        <v>0</v>
      </c>
      <c r="W600" s="20">
        <v>5042100</v>
      </c>
      <c r="X600" s="16">
        <v>7.9</v>
      </c>
      <c r="Y600" s="21">
        <v>13</v>
      </c>
      <c r="Z600" s="20">
        <v>635250</v>
      </c>
      <c r="AA600" s="17">
        <v>388445</v>
      </c>
      <c r="AB600" s="22">
        <v>0.6</v>
      </c>
      <c r="AC600" s="23">
        <f t="shared" si="59"/>
        <v>100</v>
      </c>
      <c r="AD600" s="17">
        <v>291000</v>
      </c>
      <c r="AE600" s="17">
        <v>1614000</v>
      </c>
      <c r="AF600" s="17">
        <v>1633000</v>
      </c>
      <c r="AG600" s="17">
        <v>666000</v>
      </c>
      <c r="AH600" s="15" t="s">
        <v>42</v>
      </c>
    </row>
    <row r="601" spans="1:34">
      <c r="A601" s="13" t="str">
        <f t="shared" si="54"/>
        <v>Normal</v>
      </c>
      <c r="B601" s="14" t="s">
        <v>615</v>
      </c>
      <c r="C601" s="15" t="s">
        <v>608</v>
      </c>
      <c r="D601" s="19">
        <f t="shared" si="55"/>
        <v>6.5</v>
      </c>
      <c r="E601" s="16">
        <f t="shared" si="56"/>
        <v>5.4</v>
      </c>
      <c r="F601" s="16">
        <f t="shared" si="57"/>
        <v>7.2</v>
      </c>
      <c r="G601" s="16">
        <f t="shared" si="58"/>
        <v>6</v>
      </c>
      <c r="H601" s="24" t="str">
        <f>IFERROR(VLOOKUP(B601,#REF!,8,FALSE),"")</f>
        <v/>
      </c>
      <c r="I601" s="17">
        <v>630000</v>
      </c>
      <c r="J601" s="17">
        <v>630000</v>
      </c>
      <c r="K601" s="24" t="str">
        <f>IFERROR(VLOOKUP(B601,#REF!,11,FALSE),"")</f>
        <v/>
      </c>
      <c r="L601" s="17">
        <v>570000</v>
      </c>
      <c r="M601" s="6" t="s">
        <v>758</v>
      </c>
      <c r="N601" s="18" t="str">
        <f>IFERROR(VLOOKUP(B601,#REF!,13,FALSE),"")</f>
        <v/>
      </c>
      <c r="O601" s="19" t="str">
        <f>IFERROR(VLOOKUP(B601,#REF!,14,FALSE),"")</f>
        <v/>
      </c>
      <c r="P601" s="19" t="str">
        <f>IFERROR(VLOOKUP(B601,#REF!,15,FALSE),"")</f>
        <v/>
      </c>
      <c r="Q601" s="19"/>
      <c r="R601" s="25" t="str">
        <f>IFERROR(VLOOKUP(B601,#REF!,16,FALSE),"")</f>
        <v/>
      </c>
      <c r="S601" s="17">
        <v>0</v>
      </c>
      <c r="T601" s="17">
        <v>570000</v>
      </c>
      <c r="U601" s="17">
        <v>0</v>
      </c>
      <c r="V601" s="17">
        <v>0</v>
      </c>
      <c r="W601" s="20">
        <v>1200000</v>
      </c>
      <c r="X601" s="16">
        <v>13.7</v>
      </c>
      <c r="Y601" s="21">
        <v>11.4</v>
      </c>
      <c r="Z601" s="20">
        <v>87750</v>
      </c>
      <c r="AA601" s="17">
        <v>105667</v>
      </c>
      <c r="AB601" s="22">
        <v>1.2</v>
      </c>
      <c r="AC601" s="23">
        <f t="shared" si="59"/>
        <v>100</v>
      </c>
      <c r="AD601" s="17">
        <v>144000</v>
      </c>
      <c r="AE601" s="17">
        <v>393000</v>
      </c>
      <c r="AF601" s="17">
        <v>552000</v>
      </c>
      <c r="AG601" s="17">
        <v>198000</v>
      </c>
      <c r="AH601" s="15" t="s">
        <v>42</v>
      </c>
    </row>
    <row r="602" spans="1:34">
      <c r="A602" s="13" t="str">
        <f t="shared" si="54"/>
        <v>Normal</v>
      </c>
      <c r="B602" s="14" t="s">
        <v>616</v>
      </c>
      <c r="C602" s="15" t="s">
        <v>608</v>
      </c>
      <c r="D602" s="19">
        <f t="shared" si="55"/>
        <v>0.1</v>
      </c>
      <c r="E602" s="16">
        <f t="shared" si="56"/>
        <v>0.5</v>
      </c>
      <c r="F602" s="16">
        <f t="shared" si="57"/>
        <v>5</v>
      </c>
      <c r="G602" s="16">
        <f t="shared" si="58"/>
        <v>24.2</v>
      </c>
      <c r="H602" s="24" t="str">
        <f>IFERROR(VLOOKUP(B602,#REF!,8,FALSE),"")</f>
        <v/>
      </c>
      <c r="I602" s="17">
        <v>153000</v>
      </c>
      <c r="J602" s="17">
        <v>153000</v>
      </c>
      <c r="K602" s="24" t="str">
        <f>IFERROR(VLOOKUP(B602,#REF!,11,FALSE),"")</f>
        <v/>
      </c>
      <c r="L602" s="17">
        <v>3000</v>
      </c>
      <c r="M602" s="6" t="s">
        <v>770</v>
      </c>
      <c r="N602" s="18" t="str">
        <f>IFERROR(VLOOKUP(B602,#REF!,13,FALSE),"")</f>
        <v/>
      </c>
      <c r="O602" s="19" t="str">
        <f>IFERROR(VLOOKUP(B602,#REF!,14,FALSE),"")</f>
        <v/>
      </c>
      <c r="P602" s="19" t="str">
        <f>IFERROR(VLOOKUP(B602,#REF!,15,FALSE),"")</f>
        <v/>
      </c>
      <c r="Q602" s="19"/>
      <c r="R602" s="25" t="str">
        <f>IFERROR(VLOOKUP(B602,#REF!,16,FALSE),"")</f>
        <v/>
      </c>
      <c r="S602" s="17">
        <v>0</v>
      </c>
      <c r="T602" s="17">
        <v>3000</v>
      </c>
      <c r="U602" s="17">
        <v>0</v>
      </c>
      <c r="V602" s="17">
        <v>0</v>
      </c>
      <c r="W602" s="20">
        <v>156000</v>
      </c>
      <c r="X602" s="16">
        <v>5.0999999999999996</v>
      </c>
      <c r="Y602" s="21">
        <v>24.6</v>
      </c>
      <c r="Z602" s="20">
        <v>30375</v>
      </c>
      <c r="AA602" s="17">
        <v>6333</v>
      </c>
      <c r="AB602" s="22">
        <v>0.2</v>
      </c>
      <c r="AC602" s="23">
        <f t="shared" si="59"/>
        <v>50</v>
      </c>
      <c r="AD602" s="17">
        <v>3000</v>
      </c>
      <c r="AE602" s="17">
        <v>48000</v>
      </c>
      <c r="AF602" s="17">
        <v>6000</v>
      </c>
      <c r="AG602" s="17">
        <v>0</v>
      </c>
      <c r="AH602" s="15" t="s">
        <v>42</v>
      </c>
    </row>
    <row r="603" spans="1:34">
      <c r="A603" s="13" t="str">
        <f t="shared" si="54"/>
        <v>Normal</v>
      </c>
      <c r="B603" s="14" t="s">
        <v>617</v>
      </c>
      <c r="C603" s="15" t="s">
        <v>608</v>
      </c>
      <c r="D603" s="19">
        <f t="shared" si="55"/>
        <v>0</v>
      </c>
      <c r="E603" s="16">
        <f t="shared" si="56"/>
        <v>0</v>
      </c>
      <c r="F603" s="16">
        <f t="shared" si="57"/>
        <v>9.9</v>
      </c>
      <c r="G603" s="16">
        <f t="shared" si="58"/>
        <v>30.1</v>
      </c>
      <c r="H603" s="24" t="str">
        <f>IFERROR(VLOOKUP(B603,#REF!,8,FALSE),"")</f>
        <v/>
      </c>
      <c r="I603" s="17">
        <v>2187000</v>
      </c>
      <c r="J603" s="17">
        <v>2130000</v>
      </c>
      <c r="K603" s="24" t="str">
        <f>IFERROR(VLOOKUP(B603,#REF!,11,FALSE),"")</f>
        <v/>
      </c>
      <c r="L603" s="17">
        <v>0</v>
      </c>
      <c r="M603" s="6" t="s">
        <v>748</v>
      </c>
      <c r="N603" s="18" t="str">
        <f>IFERROR(VLOOKUP(B603,#REF!,13,FALSE),"")</f>
        <v/>
      </c>
      <c r="O603" s="19" t="str">
        <f>IFERROR(VLOOKUP(B603,#REF!,14,FALSE),"")</f>
        <v/>
      </c>
      <c r="P603" s="19" t="str">
        <f>IFERROR(VLOOKUP(B603,#REF!,15,FALSE),"")</f>
        <v/>
      </c>
      <c r="Q603" s="19"/>
      <c r="R603" s="25" t="str">
        <f>IFERROR(VLOOKUP(B603,#REF!,16,FALSE),"")</f>
        <v/>
      </c>
      <c r="S603" s="17">
        <v>0</v>
      </c>
      <c r="T603" s="17">
        <v>0</v>
      </c>
      <c r="U603" s="17">
        <v>0</v>
      </c>
      <c r="V603" s="17">
        <v>0</v>
      </c>
      <c r="W603" s="20">
        <v>2187000</v>
      </c>
      <c r="X603" s="16">
        <v>9.9</v>
      </c>
      <c r="Y603" s="21">
        <v>30.1</v>
      </c>
      <c r="Z603" s="20">
        <v>220875</v>
      </c>
      <c r="AA603" s="17">
        <v>72667</v>
      </c>
      <c r="AB603" s="22">
        <v>0.3</v>
      </c>
      <c r="AC603" s="23">
        <f t="shared" si="59"/>
        <v>50</v>
      </c>
      <c r="AD603" s="17">
        <v>0</v>
      </c>
      <c r="AE603" s="17">
        <v>654000</v>
      </c>
      <c r="AF603" s="17">
        <v>0</v>
      </c>
      <c r="AG603" s="17">
        <v>0</v>
      </c>
      <c r="AH603" s="15" t="s">
        <v>42</v>
      </c>
    </row>
    <row r="604" spans="1:34">
      <c r="A604" s="13" t="str">
        <f t="shared" si="54"/>
        <v>OverStock</v>
      </c>
      <c r="B604" s="14" t="s">
        <v>618</v>
      </c>
      <c r="C604" s="15" t="s">
        <v>608</v>
      </c>
      <c r="D604" s="19">
        <f t="shared" si="55"/>
        <v>4</v>
      </c>
      <c r="E604" s="16">
        <f t="shared" si="56"/>
        <v>21.6</v>
      </c>
      <c r="F604" s="16">
        <f t="shared" si="57"/>
        <v>14.5</v>
      </c>
      <c r="G604" s="16">
        <f t="shared" si="58"/>
        <v>78.7</v>
      </c>
      <c r="H604" s="24" t="str">
        <f>IFERROR(VLOOKUP(B604,#REF!,8,FALSE),"")</f>
        <v/>
      </c>
      <c r="I604" s="17">
        <v>1270700</v>
      </c>
      <c r="J604" s="17">
        <v>1269000</v>
      </c>
      <c r="K604" s="24" t="str">
        <f>IFERROR(VLOOKUP(B604,#REF!,11,FALSE),"")</f>
        <v/>
      </c>
      <c r="L604" s="17">
        <v>348000</v>
      </c>
      <c r="M604" s="6" t="s">
        <v>769</v>
      </c>
      <c r="N604" s="18" t="str">
        <f>IFERROR(VLOOKUP(B604,#REF!,13,FALSE),"")</f>
        <v/>
      </c>
      <c r="O604" s="19" t="str">
        <f>IFERROR(VLOOKUP(B604,#REF!,14,FALSE),"")</f>
        <v/>
      </c>
      <c r="P604" s="19" t="str">
        <f>IFERROR(VLOOKUP(B604,#REF!,15,FALSE),"")</f>
        <v/>
      </c>
      <c r="Q604" s="19"/>
      <c r="R604" s="25" t="str">
        <f>IFERROR(VLOOKUP(B604,#REF!,16,FALSE),"")</f>
        <v/>
      </c>
      <c r="S604" s="17">
        <v>0</v>
      </c>
      <c r="T604" s="17">
        <v>348000</v>
      </c>
      <c r="U604" s="17">
        <v>0</v>
      </c>
      <c r="V604" s="17">
        <v>0</v>
      </c>
      <c r="W604" s="20">
        <v>1618700</v>
      </c>
      <c r="X604" s="16">
        <v>18.5</v>
      </c>
      <c r="Y604" s="21">
        <v>100.3</v>
      </c>
      <c r="Z604" s="20">
        <v>87631</v>
      </c>
      <c r="AA604" s="17">
        <v>16144</v>
      </c>
      <c r="AB604" s="22">
        <v>0.2</v>
      </c>
      <c r="AC604" s="23">
        <f t="shared" si="59"/>
        <v>50</v>
      </c>
      <c r="AD604" s="17">
        <v>31300</v>
      </c>
      <c r="AE604" s="17">
        <v>27000</v>
      </c>
      <c r="AF604" s="17">
        <v>87000</v>
      </c>
      <c r="AG604" s="17">
        <v>3000</v>
      </c>
      <c r="AH604" s="15" t="s">
        <v>42</v>
      </c>
    </row>
    <row r="605" spans="1:34">
      <c r="A605" s="13" t="str">
        <f t="shared" si="54"/>
        <v>ZeroZero</v>
      </c>
      <c r="B605" s="14" t="s">
        <v>619</v>
      </c>
      <c r="C605" s="15" t="s">
        <v>608</v>
      </c>
      <c r="D605" s="19" t="str">
        <f t="shared" si="55"/>
        <v>前八週無拉料</v>
      </c>
      <c r="E605" s="16" t="str">
        <f t="shared" si="56"/>
        <v>--</v>
      </c>
      <c r="F605" s="16" t="str">
        <f t="shared" si="57"/>
        <v>--</v>
      </c>
      <c r="G605" s="16" t="str">
        <f t="shared" si="58"/>
        <v>--</v>
      </c>
      <c r="H605" s="24" t="str">
        <f>IFERROR(VLOOKUP(B605,#REF!,8,FALSE),"")</f>
        <v/>
      </c>
      <c r="I605" s="17">
        <v>141000</v>
      </c>
      <c r="J605" s="17">
        <v>0</v>
      </c>
      <c r="K605" s="24" t="str">
        <f>IFERROR(VLOOKUP(B605,#REF!,11,FALSE),"")</f>
        <v/>
      </c>
      <c r="L605" s="17">
        <v>0</v>
      </c>
      <c r="M605" s="6" t="s">
        <v>758</v>
      </c>
      <c r="N605" s="18" t="str">
        <f>IFERROR(VLOOKUP(B605,#REF!,13,FALSE),"")</f>
        <v/>
      </c>
      <c r="O605" s="19" t="str">
        <f>IFERROR(VLOOKUP(B605,#REF!,14,FALSE),"")</f>
        <v/>
      </c>
      <c r="P605" s="19" t="str">
        <f>IFERROR(VLOOKUP(B605,#REF!,15,FALSE),"")</f>
        <v/>
      </c>
      <c r="Q605" s="19"/>
      <c r="R605" s="25" t="str">
        <f>IFERROR(VLOOKUP(B605,#REF!,16,FALSE),"")</f>
        <v/>
      </c>
      <c r="S605" s="17">
        <v>0</v>
      </c>
      <c r="T605" s="17">
        <v>0</v>
      </c>
      <c r="U605" s="17">
        <v>0</v>
      </c>
      <c r="V605" s="17">
        <v>0</v>
      </c>
      <c r="W605" s="20">
        <v>141000</v>
      </c>
      <c r="X605" s="16" t="s">
        <v>40</v>
      </c>
      <c r="Y605" s="21" t="s">
        <v>40</v>
      </c>
      <c r="Z605" s="20">
        <v>0</v>
      </c>
      <c r="AA605" s="17" t="s">
        <v>40</v>
      </c>
      <c r="AB605" s="22" t="s">
        <v>41</v>
      </c>
      <c r="AC605" s="23" t="str">
        <f t="shared" si="59"/>
        <v>E</v>
      </c>
      <c r="AD605" s="17">
        <v>0</v>
      </c>
      <c r="AE605" s="17">
        <v>0</v>
      </c>
      <c r="AF605" s="17">
        <v>0</v>
      </c>
      <c r="AG605" s="17">
        <v>0</v>
      </c>
      <c r="AH605" s="15" t="s">
        <v>42</v>
      </c>
    </row>
    <row r="606" spans="1:34">
      <c r="A606" s="13" t="str">
        <f t="shared" si="54"/>
        <v>Normal</v>
      </c>
      <c r="B606" s="14" t="s">
        <v>620</v>
      </c>
      <c r="C606" s="15" t="s">
        <v>608</v>
      </c>
      <c r="D606" s="19">
        <f t="shared" si="55"/>
        <v>8.8000000000000007</v>
      </c>
      <c r="E606" s="16" t="str">
        <f t="shared" si="56"/>
        <v>--</v>
      </c>
      <c r="F606" s="16">
        <f t="shared" si="57"/>
        <v>0.4</v>
      </c>
      <c r="G606" s="16" t="str">
        <f t="shared" si="58"/>
        <v>--</v>
      </c>
      <c r="H606" s="24" t="str">
        <f>IFERROR(VLOOKUP(B606,#REF!,8,FALSE),"")</f>
        <v/>
      </c>
      <c r="I606" s="17">
        <v>3000</v>
      </c>
      <c r="J606" s="17">
        <v>3000</v>
      </c>
      <c r="K606" s="24" t="str">
        <f>IFERROR(VLOOKUP(B606,#REF!,11,FALSE),"")</f>
        <v/>
      </c>
      <c r="L606" s="17">
        <v>66049</v>
      </c>
      <c r="M606" s="6" t="s">
        <v>769</v>
      </c>
      <c r="N606" s="18" t="str">
        <f>IFERROR(VLOOKUP(B606,#REF!,13,FALSE),"")</f>
        <v/>
      </c>
      <c r="O606" s="19" t="str">
        <f>IFERROR(VLOOKUP(B606,#REF!,14,FALSE),"")</f>
        <v/>
      </c>
      <c r="P606" s="19" t="str">
        <f>IFERROR(VLOOKUP(B606,#REF!,15,FALSE),"")</f>
        <v/>
      </c>
      <c r="Q606" s="19"/>
      <c r="R606" s="25" t="str">
        <f>IFERROR(VLOOKUP(B606,#REF!,16,FALSE),"")</f>
        <v/>
      </c>
      <c r="S606" s="17">
        <v>0</v>
      </c>
      <c r="T606" s="17">
        <v>66049</v>
      </c>
      <c r="U606" s="17">
        <v>0</v>
      </c>
      <c r="V606" s="17">
        <v>0</v>
      </c>
      <c r="W606" s="20">
        <v>69049</v>
      </c>
      <c r="X606" s="16">
        <v>9.1999999999999993</v>
      </c>
      <c r="Y606" s="21" t="s">
        <v>40</v>
      </c>
      <c r="Z606" s="20">
        <v>7500</v>
      </c>
      <c r="AA606" s="17" t="s">
        <v>40</v>
      </c>
      <c r="AB606" s="22" t="s">
        <v>41</v>
      </c>
      <c r="AC606" s="23" t="str">
        <f t="shared" si="59"/>
        <v>E</v>
      </c>
      <c r="AD606" s="17">
        <v>0</v>
      </c>
      <c r="AE606" s="17">
        <v>0</v>
      </c>
      <c r="AF606" s="17">
        <v>0</v>
      </c>
      <c r="AG606" s="17">
        <v>0</v>
      </c>
      <c r="AH606" s="15" t="s">
        <v>42</v>
      </c>
    </row>
    <row r="607" spans="1:34">
      <c r="A607" s="13" t="str">
        <f t="shared" si="54"/>
        <v>Normal</v>
      </c>
      <c r="B607" s="14" t="s">
        <v>621</v>
      </c>
      <c r="C607" s="15" t="s">
        <v>608</v>
      </c>
      <c r="D607" s="19">
        <f t="shared" si="55"/>
        <v>0</v>
      </c>
      <c r="E607" s="16" t="str">
        <f t="shared" si="56"/>
        <v>--</v>
      </c>
      <c r="F607" s="16">
        <f t="shared" si="57"/>
        <v>1</v>
      </c>
      <c r="G607" s="16" t="str">
        <f t="shared" si="58"/>
        <v>--</v>
      </c>
      <c r="H607" s="24" t="str">
        <f>IFERROR(VLOOKUP(B607,#REF!,8,FALSE),"")</f>
        <v/>
      </c>
      <c r="I607" s="17">
        <v>1500</v>
      </c>
      <c r="J607" s="17">
        <v>1500</v>
      </c>
      <c r="K607" s="24" t="str">
        <f>IFERROR(VLOOKUP(B607,#REF!,11,FALSE),"")</f>
        <v/>
      </c>
      <c r="L607" s="17">
        <v>0</v>
      </c>
      <c r="M607" s="6" t="s">
        <v>758</v>
      </c>
      <c r="N607" s="18" t="str">
        <f>IFERROR(VLOOKUP(B607,#REF!,13,FALSE),"")</f>
        <v/>
      </c>
      <c r="O607" s="19" t="str">
        <f>IFERROR(VLOOKUP(B607,#REF!,14,FALSE),"")</f>
        <v/>
      </c>
      <c r="P607" s="19" t="str">
        <f>IFERROR(VLOOKUP(B607,#REF!,15,FALSE),"")</f>
        <v/>
      </c>
      <c r="Q607" s="19"/>
      <c r="R607" s="25" t="str">
        <f>IFERROR(VLOOKUP(B607,#REF!,16,FALSE),"")</f>
        <v/>
      </c>
      <c r="S607" s="17">
        <v>0</v>
      </c>
      <c r="T607" s="17">
        <v>0</v>
      </c>
      <c r="U607" s="17">
        <v>0</v>
      </c>
      <c r="V607" s="17">
        <v>0</v>
      </c>
      <c r="W607" s="20">
        <v>1500</v>
      </c>
      <c r="X607" s="16">
        <v>1</v>
      </c>
      <c r="Y607" s="21" t="s">
        <v>40</v>
      </c>
      <c r="Z607" s="20">
        <v>1500</v>
      </c>
      <c r="AA607" s="17" t="s">
        <v>40</v>
      </c>
      <c r="AB607" s="22" t="s">
        <v>41</v>
      </c>
      <c r="AC607" s="23" t="str">
        <f t="shared" si="59"/>
        <v>E</v>
      </c>
      <c r="AD607" s="17">
        <v>0</v>
      </c>
      <c r="AE607" s="17">
        <v>0</v>
      </c>
      <c r="AF607" s="17">
        <v>0</v>
      </c>
      <c r="AG607" s="17">
        <v>0</v>
      </c>
      <c r="AH607" s="15" t="s">
        <v>42</v>
      </c>
    </row>
    <row r="608" spans="1:34">
      <c r="A608" s="13" t="str">
        <f t="shared" si="54"/>
        <v>OverStock</v>
      </c>
      <c r="B608" s="14" t="s">
        <v>622</v>
      </c>
      <c r="C608" s="15" t="s">
        <v>608</v>
      </c>
      <c r="D608" s="19">
        <f t="shared" si="55"/>
        <v>24</v>
      </c>
      <c r="E608" s="16">
        <f t="shared" si="56"/>
        <v>7.7</v>
      </c>
      <c r="F608" s="16">
        <f t="shared" si="57"/>
        <v>0</v>
      </c>
      <c r="G608" s="16">
        <f t="shared" si="58"/>
        <v>0</v>
      </c>
      <c r="H608" s="24" t="str">
        <f>IFERROR(VLOOKUP(B608,#REF!,8,FALSE),"")</f>
        <v/>
      </c>
      <c r="I608" s="17">
        <v>0</v>
      </c>
      <c r="J608" s="17">
        <v>0</v>
      </c>
      <c r="K608" s="24" t="str">
        <f>IFERROR(VLOOKUP(B608,#REF!,11,FALSE),"")</f>
        <v/>
      </c>
      <c r="L608" s="17">
        <v>18000</v>
      </c>
      <c r="M608" s="6" t="s">
        <v>758</v>
      </c>
      <c r="N608" s="18" t="str">
        <f>IFERROR(VLOOKUP(B608,#REF!,13,FALSE),"")</f>
        <v/>
      </c>
      <c r="O608" s="19" t="str">
        <f>IFERROR(VLOOKUP(B608,#REF!,14,FALSE),"")</f>
        <v/>
      </c>
      <c r="P608" s="19" t="str">
        <f>IFERROR(VLOOKUP(B608,#REF!,15,FALSE),"")</f>
        <v/>
      </c>
      <c r="Q608" s="19"/>
      <c r="R608" s="25" t="str">
        <f>IFERROR(VLOOKUP(B608,#REF!,16,FALSE),"")</f>
        <v/>
      </c>
      <c r="S608" s="17">
        <v>0</v>
      </c>
      <c r="T608" s="17">
        <v>18000</v>
      </c>
      <c r="U608" s="17">
        <v>0</v>
      </c>
      <c r="V608" s="17">
        <v>0</v>
      </c>
      <c r="W608" s="20">
        <v>18000</v>
      </c>
      <c r="X608" s="16">
        <v>24</v>
      </c>
      <c r="Y608" s="21">
        <v>7.7</v>
      </c>
      <c r="Z608" s="20">
        <v>750</v>
      </c>
      <c r="AA608" s="17">
        <v>2333</v>
      </c>
      <c r="AB608" s="22">
        <v>3.1</v>
      </c>
      <c r="AC608" s="23">
        <f t="shared" si="59"/>
        <v>150</v>
      </c>
      <c r="AD608" s="17">
        <v>6000</v>
      </c>
      <c r="AE608" s="17">
        <v>6000</v>
      </c>
      <c r="AF608" s="17">
        <v>9000</v>
      </c>
      <c r="AG608" s="17">
        <v>0</v>
      </c>
      <c r="AH608" s="15" t="s">
        <v>42</v>
      </c>
    </row>
    <row r="609" spans="1:34">
      <c r="A609" s="13" t="str">
        <f t="shared" si="54"/>
        <v>Normal</v>
      </c>
      <c r="B609" s="14" t="s">
        <v>624</v>
      </c>
      <c r="C609" s="15" t="s">
        <v>608</v>
      </c>
      <c r="D609" s="19">
        <f t="shared" si="55"/>
        <v>0</v>
      </c>
      <c r="E609" s="16">
        <f t="shared" si="56"/>
        <v>0</v>
      </c>
      <c r="F609" s="16">
        <f t="shared" si="57"/>
        <v>9.6999999999999993</v>
      </c>
      <c r="G609" s="16">
        <f t="shared" si="58"/>
        <v>29.6</v>
      </c>
      <c r="H609" s="24" t="str">
        <f>IFERROR(VLOOKUP(B609,#REF!,8,FALSE),"")</f>
        <v/>
      </c>
      <c r="I609" s="17">
        <v>798000</v>
      </c>
      <c r="J609" s="17">
        <v>798000</v>
      </c>
      <c r="K609" s="24" t="str">
        <f>IFERROR(VLOOKUP(B609,#REF!,11,FALSE),"")</f>
        <v/>
      </c>
      <c r="L609" s="17">
        <v>0</v>
      </c>
      <c r="M609" s="6" t="s">
        <v>748</v>
      </c>
      <c r="N609" s="18" t="str">
        <f>IFERROR(VLOOKUP(B609,#REF!,13,FALSE),"")</f>
        <v/>
      </c>
      <c r="O609" s="19" t="str">
        <f>IFERROR(VLOOKUP(B609,#REF!,14,FALSE),"")</f>
        <v/>
      </c>
      <c r="P609" s="19" t="str">
        <f>IFERROR(VLOOKUP(B609,#REF!,15,FALSE),"")</f>
        <v/>
      </c>
      <c r="Q609" s="19"/>
      <c r="R609" s="25" t="str">
        <f>IFERROR(VLOOKUP(B609,#REF!,16,FALSE),"")</f>
        <v/>
      </c>
      <c r="S609" s="17">
        <v>0</v>
      </c>
      <c r="T609" s="17">
        <v>0</v>
      </c>
      <c r="U609" s="17">
        <v>0</v>
      </c>
      <c r="V609" s="17">
        <v>0</v>
      </c>
      <c r="W609" s="20">
        <v>798000</v>
      </c>
      <c r="X609" s="16">
        <v>9.6999999999999993</v>
      </c>
      <c r="Y609" s="21">
        <v>29.6</v>
      </c>
      <c r="Z609" s="20">
        <v>82500</v>
      </c>
      <c r="AA609" s="17">
        <v>27000</v>
      </c>
      <c r="AB609" s="22">
        <v>0.3</v>
      </c>
      <c r="AC609" s="23">
        <f t="shared" si="59"/>
        <v>50</v>
      </c>
      <c r="AD609" s="17">
        <v>0</v>
      </c>
      <c r="AE609" s="17">
        <v>243000</v>
      </c>
      <c r="AF609" s="17">
        <v>0</v>
      </c>
      <c r="AG609" s="17">
        <v>0</v>
      </c>
      <c r="AH609" s="15" t="s">
        <v>42</v>
      </c>
    </row>
    <row r="610" spans="1:34">
      <c r="A610" s="13" t="str">
        <f t="shared" si="54"/>
        <v>Normal</v>
      </c>
      <c r="B610" s="14" t="s">
        <v>625</v>
      </c>
      <c r="C610" s="15" t="s">
        <v>608</v>
      </c>
      <c r="D610" s="19">
        <f t="shared" si="55"/>
        <v>6.3</v>
      </c>
      <c r="E610" s="16">
        <f t="shared" si="56"/>
        <v>25.2</v>
      </c>
      <c r="F610" s="16">
        <f t="shared" si="57"/>
        <v>5.7</v>
      </c>
      <c r="G610" s="16">
        <f t="shared" si="58"/>
        <v>22.8</v>
      </c>
      <c r="H610" s="24" t="str">
        <f>IFERROR(VLOOKUP(B610,#REF!,8,FALSE),"")</f>
        <v/>
      </c>
      <c r="I610" s="17">
        <v>114000</v>
      </c>
      <c r="J610" s="17">
        <v>114000</v>
      </c>
      <c r="K610" s="24" t="str">
        <f>IFERROR(VLOOKUP(B610,#REF!,11,FALSE),"")</f>
        <v/>
      </c>
      <c r="L610" s="17">
        <v>126000</v>
      </c>
      <c r="M610" s="6" t="s">
        <v>769</v>
      </c>
      <c r="N610" s="18" t="str">
        <f>IFERROR(VLOOKUP(B610,#REF!,13,FALSE),"")</f>
        <v/>
      </c>
      <c r="O610" s="19" t="str">
        <f>IFERROR(VLOOKUP(B610,#REF!,14,FALSE),"")</f>
        <v/>
      </c>
      <c r="P610" s="19" t="str">
        <f>IFERROR(VLOOKUP(B610,#REF!,15,FALSE),"")</f>
        <v/>
      </c>
      <c r="Q610" s="19"/>
      <c r="R610" s="25" t="str">
        <f>IFERROR(VLOOKUP(B610,#REF!,16,FALSE),"")</f>
        <v/>
      </c>
      <c r="S610" s="17">
        <v>0</v>
      </c>
      <c r="T610" s="17">
        <v>126000</v>
      </c>
      <c r="U610" s="17">
        <v>0</v>
      </c>
      <c r="V610" s="17">
        <v>0</v>
      </c>
      <c r="W610" s="20">
        <v>240000</v>
      </c>
      <c r="X610" s="16">
        <v>12.1</v>
      </c>
      <c r="Y610" s="21">
        <v>48</v>
      </c>
      <c r="Z610" s="20">
        <v>19875</v>
      </c>
      <c r="AA610" s="17">
        <v>5000</v>
      </c>
      <c r="AB610" s="22">
        <v>0.3</v>
      </c>
      <c r="AC610" s="23">
        <f t="shared" si="59"/>
        <v>50</v>
      </c>
      <c r="AD610" s="17">
        <v>0</v>
      </c>
      <c r="AE610" s="17">
        <v>24000</v>
      </c>
      <c r="AF610" s="17">
        <v>21000</v>
      </c>
      <c r="AG610" s="17">
        <v>33000</v>
      </c>
      <c r="AH610" s="15" t="s">
        <v>42</v>
      </c>
    </row>
    <row r="611" spans="1:34">
      <c r="A611" s="13" t="str">
        <f t="shared" si="54"/>
        <v>Normal</v>
      </c>
      <c r="B611" s="14" t="s">
        <v>626</v>
      </c>
      <c r="C611" s="15" t="s">
        <v>608</v>
      </c>
      <c r="D611" s="19">
        <f t="shared" si="55"/>
        <v>3.1</v>
      </c>
      <c r="E611" s="16">
        <f t="shared" si="56"/>
        <v>3.1</v>
      </c>
      <c r="F611" s="16">
        <f t="shared" si="57"/>
        <v>7.3</v>
      </c>
      <c r="G611" s="16">
        <f t="shared" si="58"/>
        <v>7.4</v>
      </c>
      <c r="H611" s="24" t="str">
        <f>IFERROR(VLOOKUP(B611,#REF!,8,FALSE),"")</f>
        <v/>
      </c>
      <c r="I611" s="17">
        <v>315000</v>
      </c>
      <c r="J611" s="17">
        <v>315000</v>
      </c>
      <c r="K611" s="24" t="str">
        <f>IFERROR(VLOOKUP(B611,#REF!,11,FALSE),"")</f>
        <v/>
      </c>
      <c r="L611" s="17">
        <v>131900</v>
      </c>
      <c r="M611" s="6" t="s">
        <v>758</v>
      </c>
      <c r="N611" s="18" t="str">
        <f>IFERROR(VLOOKUP(B611,#REF!,13,FALSE),"")</f>
        <v/>
      </c>
      <c r="O611" s="19" t="str">
        <f>IFERROR(VLOOKUP(B611,#REF!,14,FALSE),"")</f>
        <v/>
      </c>
      <c r="P611" s="19" t="str">
        <f>IFERROR(VLOOKUP(B611,#REF!,15,FALSE),"")</f>
        <v/>
      </c>
      <c r="Q611" s="19"/>
      <c r="R611" s="25" t="str">
        <f>IFERROR(VLOOKUP(B611,#REF!,16,FALSE),"")</f>
        <v/>
      </c>
      <c r="S611" s="17">
        <v>0</v>
      </c>
      <c r="T611" s="17">
        <v>131900</v>
      </c>
      <c r="U611" s="17">
        <v>0</v>
      </c>
      <c r="V611" s="17">
        <v>0</v>
      </c>
      <c r="W611" s="20">
        <v>446900</v>
      </c>
      <c r="X611" s="16">
        <v>10.4</v>
      </c>
      <c r="Y611" s="21">
        <v>10.5</v>
      </c>
      <c r="Z611" s="20">
        <v>43125</v>
      </c>
      <c r="AA611" s="17">
        <v>42667</v>
      </c>
      <c r="AB611" s="22">
        <v>1</v>
      </c>
      <c r="AC611" s="23">
        <f t="shared" si="59"/>
        <v>100</v>
      </c>
      <c r="AD611" s="17">
        <v>0</v>
      </c>
      <c r="AE611" s="17">
        <v>222000</v>
      </c>
      <c r="AF611" s="17">
        <v>162000</v>
      </c>
      <c r="AG611" s="17">
        <v>0</v>
      </c>
      <c r="AH611" s="15" t="s">
        <v>42</v>
      </c>
    </row>
    <row r="612" spans="1:34">
      <c r="A612" s="13" t="str">
        <f t="shared" si="54"/>
        <v>Normal</v>
      </c>
      <c r="B612" s="14" t="s">
        <v>627</v>
      </c>
      <c r="C612" s="15" t="s">
        <v>608</v>
      </c>
      <c r="D612" s="19">
        <f t="shared" si="55"/>
        <v>5</v>
      </c>
      <c r="E612" s="16" t="str">
        <f t="shared" si="56"/>
        <v>--</v>
      </c>
      <c r="F612" s="16">
        <f t="shared" si="57"/>
        <v>3</v>
      </c>
      <c r="G612" s="16" t="str">
        <f t="shared" si="58"/>
        <v>--</v>
      </c>
      <c r="H612" s="24" t="str">
        <f>IFERROR(VLOOKUP(B612,#REF!,8,FALSE),"")</f>
        <v/>
      </c>
      <c r="I612" s="17">
        <v>15000</v>
      </c>
      <c r="J612" s="17">
        <v>15000</v>
      </c>
      <c r="K612" s="24" t="str">
        <f>IFERROR(VLOOKUP(B612,#REF!,11,FALSE),"")</f>
        <v/>
      </c>
      <c r="L612" s="17">
        <v>25000</v>
      </c>
      <c r="M612" s="6" t="s">
        <v>769</v>
      </c>
      <c r="N612" s="18" t="str">
        <f>IFERROR(VLOOKUP(B612,#REF!,13,FALSE),"")</f>
        <v/>
      </c>
      <c r="O612" s="19" t="str">
        <f>IFERROR(VLOOKUP(B612,#REF!,14,FALSE),"")</f>
        <v/>
      </c>
      <c r="P612" s="19" t="str">
        <f>IFERROR(VLOOKUP(B612,#REF!,15,FALSE),"")</f>
        <v/>
      </c>
      <c r="Q612" s="19"/>
      <c r="R612" s="25" t="str">
        <f>IFERROR(VLOOKUP(B612,#REF!,16,FALSE),"")</f>
        <v/>
      </c>
      <c r="S612" s="17">
        <v>0</v>
      </c>
      <c r="T612" s="17">
        <v>15000</v>
      </c>
      <c r="U612" s="17">
        <v>10000</v>
      </c>
      <c r="V612" s="17">
        <v>0</v>
      </c>
      <c r="W612" s="20">
        <v>40000</v>
      </c>
      <c r="X612" s="16">
        <v>8</v>
      </c>
      <c r="Y612" s="21" t="s">
        <v>40</v>
      </c>
      <c r="Z612" s="20">
        <v>5000</v>
      </c>
      <c r="AA612" s="17" t="s">
        <v>40</v>
      </c>
      <c r="AB612" s="22" t="s">
        <v>41</v>
      </c>
      <c r="AC612" s="23" t="str">
        <f t="shared" si="59"/>
        <v>E</v>
      </c>
      <c r="AD612" s="17">
        <v>0</v>
      </c>
      <c r="AE612" s="17">
        <v>0</v>
      </c>
      <c r="AF612" s="17">
        <v>0</v>
      </c>
      <c r="AG612" s="17">
        <v>0</v>
      </c>
      <c r="AH612" s="15" t="s">
        <v>42</v>
      </c>
    </row>
    <row r="613" spans="1:34">
      <c r="A613" s="13" t="str">
        <f t="shared" si="54"/>
        <v>OverStock</v>
      </c>
      <c r="B613" s="14" t="s">
        <v>628</v>
      </c>
      <c r="C613" s="15" t="s">
        <v>608</v>
      </c>
      <c r="D613" s="19">
        <f t="shared" si="55"/>
        <v>0</v>
      </c>
      <c r="E613" s="16">
        <f t="shared" si="56"/>
        <v>0</v>
      </c>
      <c r="F613" s="16">
        <f t="shared" si="57"/>
        <v>53.3</v>
      </c>
      <c r="G613" s="16">
        <f t="shared" si="58"/>
        <v>16.399999999999999</v>
      </c>
      <c r="H613" s="24" t="str">
        <f>IFERROR(VLOOKUP(B613,#REF!,8,FALSE),"")</f>
        <v/>
      </c>
      <c r="I613" s="17">
        <v>100000</v>
      </c>
      <c r="J613" s="17">
        <v>100000</v>
      </c>
      <c r="K613" s="24" t="str">
        <f>IFERROR(VLOOKUP(B613,#REF!,11,FALSE),"")</f>
        <v/>
      </c>
      <c r="L613" s="17">
        <v>0</v>
      </c>
      <c r="M613" s="6" t="s">
        <v>758</v>
      </c>
      <c r="N613" s="18" t="str">
        <f>IFERROR(VLOOKUP(B613,#REF!,13,FALSE),"")</f>
        <v/>
      </c>
      <c r="O613" s="19" t="str">
        <f>IFERROR(VLOOKUP(B613,#REF!,14,FALSE),"")</f>
        <v/>
      </c>
      <c r="P613" s="19" t="str">
        <f>IFERROR(VLOOKUP(B613,#REF!,15,FALSE),"")</f>
        <v/>
      </c>
      <c r="Q613" s="19"/>
      <c r="R613" s="25" t="str">
        <f>IFERROR(VLOOKUP(B613,#REF!,16,FALSE),"")</f>
        <v/>
      </c>
      <c r="S613" s="17">
        <v>0</v>
      </c>
      <c r="T613" s="17">
        <v>0</v>
      </c>
      <c r="U613" s="17">
        <v>0</v>
      </c>
      <c r="V613" s="17">
        <v>0</v>
      </c>
      <c r="W613" s="20">
        <v>100000</v>
      </c>
      <c r="X613" s="16">
        <v>53.3</v>
      </c>
      <c r="Y613" s="21">
        <v>16.399999999999999</v>
      </c>
      <c r="Z613" s="20">
        <v>1875</v>
      </c>
      <c r="AA613" s="17">
        <v>6111</v>
      </c>
      <c r="AB613" s="22">
        <v>3.3</v>
      </c>
      <c r="AC613" s="23">
        <f t="shared" si="59"/>
        <v>150</v>
      </c>
      <c r="AD613" s="17">
        <v>0</v>
      </c>
      <c r="AE613" s="17">
        <v>25000</v>
      </c>
      <c r="AF613" s="17">
        <v>35000</v>
      </c>
      <c r="AG613" s="17">
        <v>15000</v>
      </c>
      <c r="AH613" s="15" t="s">
        <v>42</v>
      </c>
    </row>
    <row r="614" spans="1:34">
      <c r="A614" s="13" t="str">
        <f t="shared" si="54"/>
        <v>Normal</v>
      </c>
      <c r="B614" s="14" t="s">
        <v>629</v>
      </c>
      <c r="C614" s="15" t="s">
        <v>608</v>
      </c>
      <c r="D614" s="19">
        <f t="shared" si="55"/>
        <v>0</v>
      </c>
      <c r="E614" s="16" t="str">
        <f t="shared" si="56"/>
        <v>--</v>
      </c>
      <c r="F614" s="16">
        <f t="shared" si="57"/>
        <v>0</v>
      </c>
      <c r="G614" s="16" t="str">
        <f t="shared" si="58"/>
        <v>--</v>
      </c>
      <c r="H614" s="24" t="str">
        <f>IFERROR(VLOOKUP(B614,#REF!,8,FALSE),"")</f>
        <v/>
      </c>
      <c r="I614" s="17">
        <v>0</v>
      </c>
      <c r="J614" s="17">
        <v>0</v>
      </c>
      <c r="K614" s="24" t="str">
        <f>IFERROR(VLOOKUP(B614,#REF!,11,FALSE),"")</f>
        <v/>
      </c>
      <c r="L614" s="17">
        <v>0</v>
      </c>
      <c r="M614" s="6" t="s">
        <v>758</v>
      </c>
      <c r="N614" s="18" t="str">
        <f>IFERROR(VLOOKUP(B614,#REF!,13,FALSE),"")</f>
        <v/>
      </c>
      <c r="O614" s="19" t="str">
        <f>IFERROR(VLOOKUP(B614,#REF!,14,FALSE),"")</f>
        <v/>
      </c>
      <c r="P614" s="19" t="str">
        <f>IFERROR(VLOOKUP(B614,#REF!,15,FALSE),"")</f>
        <v/>
      </c>
      <c r="Q614" s="19"/>
      <c r="R614" s="25" t="str">
        <f>IFERROR(VLOOKUP(B614,#REF!,16,FALSE),"")</f>
        <v/>
      </c>
      <c r="S614" s="17">
        <v>0</v>
      </c>
      <c r="T614" s="17">
        <v>0</v>
      </c>
      <c r="U614" s="17">
        <v>0</v>
      </c>
      <c r="V614" s="17">
        <v>0</v>
      </c>
      <c r="W614" s="20">
        <v>0</v>
      </c>
      <c r="X614" s="16">
        <v>0</v>
      </c>
      <c r="Y614" s="21" t="s">
        <v>40</v>
      </c>
      <c r="Z614" s="20">
        <v>375</v>
      </c>
      <c r="AA614" s="17" t="s">
        <v>40</v>
      </c>
      <c r="AB614" s="22" t="s">
        <v>41</v>
      </c>
      <c r="AC614" s="23" t="str">
        <f t="shared" si="59"/>
        <v>E</v>
      </c>
      <c r="AD614" s="17">
        <v>0</v>
      </c>
      <c r="AE614" s="17">
        <v>0</v>
      </c>
      <c r="AF614" s="17">
        <v>0</v>
      </c>
      <c r="AG614" s="17">
        <v>0</v>
      </c>
      <c r="AH614" s="15" t="s">
        <v>42</v>
      </c>
    </row>
    <row r="615" spans="1:34">
      <c r="A615" s="13" t="str">
        <f t="shared" si="54"/>
        <v>Normal</v>
      </c>
      <c r="B615" s="14" t="s">
        <v>630</v>
      </c>
      <c r="C615" s="15" t="s">
        <v>277</v>
      </c>
      <c r="D615" s="19">
        <f t="shared" si="55"/>
        <v>0</v>
      </c>
      <c r="E615" s="16">
        <f t="shared" si="56"/>
        <v>0</v>
      </c>
      <c r="F615" s="16">
        <f t="shared" si="57"/>
        <v>16</v>
      </c>
      <c r="G615" s="16">
        <f t="shared" si="58"/>
        <v>9</v>
      </c>
      <c r="H615" s="24" t="str">
        <f>IFERROR(VLOOKUP(B615,#REF!,8,FALSE),"")</f>
        <v/>
      </c>
      <c r="I615" s="17">
        <v>1600</v>
      </c>
      <c r="J615" s="17">
        <v>1600</v>
      </c>
      <c r="K615" s="24" t="str">
        <f>IFERROR(VLOOKUP(B615,#REF!,11,FALSE),"")</f>
        <v/>
      </c>
      <c r="L615" s="17">
        <v>0</v>
      </c>
      <c r="M615" s="6" t="s">
        <v>758</v>
      </c>
      <c r="N615" s="18" t="str">
        <f>IFERROR(VLOOKUP(B615,#REF!,13,FALSE),"")</f>
        <v/>
      </c>
      <c r="O615" s="19" t="str">
        <f>IFERROR(VLOOKUP(B615,#REF!,14,FALSE),"")</f>
        <v/>
      </c>
      <c r="P615" s="19" t="str">
        <f>IFERROR(VLOOKUP(B615,#REF!,15,FALSE),"")</f>
        <v/>
      </c>
      <c r="Q615" s="19"/>
      <c r="R615" s="25" t="str">
        <f>IFERROR(VLOOKUP(B615,#REF!,16,FALSE),"")</f>
        <v/>
      </c>
      <c r="S615" s="17">
        <v>0</v>
      </c>
      <c r="T615" s="17">
        <v>0</v>
      </c>
      <c r="U615" s="17">
        <v>0</v>
      </c>
      <c r="V615" s="17">
        <v>0</v>
      </c>
      <c r="W615" s="20">
        <v>1600</v>
      </c>
      <c r="X615" s="16">
        <v>16</v>
      </c>
      <c r="Y615" s="21">
        <v>9</v>
      </c>
      <c r="Z615" s="20">
        <v>100</v>
      </c>
      <c r="AA615" s="17">
        <v>178</v>
      </c>
      <c r="AB615" s="22">
        <v>1.8</v>
      </c>
      <c r="AC615" s="23">
        <f t="shared" si="59"/>
        <v>100</v>
      </c>
      <c r="AD615" s="17">
        <v>0</v>
      </c>
      <c r="AE615" s="17">
        <v>1600</v>
      </c>
      <c r="AF615" s="17">
        <v>0</v>
      </c>
      <c r="AG615" s="17">
        <v>800</v>
      </c>
      <c r="AH615" s="15" t="s">
        <v>42</v>
      </c>
    </row>
    <row r="616" spans="1:34">
      <c r="A616" s="13" t="str">
        <f t="shared" si="54"/>
        <v>Normal</v>
      </c>
      <c r="B616" s="14" t="s">
        <v>631</v>
      </c>
      <c r="C616" s="15" t="s">
        <v>277</v>
      </c>
      <c r="D616" s="19">
        <f t="shared" si="55"/>
        <v>0</v>
      </c>
      <c r="E616" s="16">
        <f t="shared" si="56"/>
        <v>0</v>
      </c>
      <c r="F616" s="16">
        <f t="shared" si="57"/>
        <v>0</v>
      </c>
      <c r="G616" s="16">
        <f t="shared" si="58"/>
        <v>0</v>
      </c>
      <c r="H616" s="24" t="str">
        <f>IFERROR(VLOOKUP(B616,#REF!,8,FALSE),"")</f>
        <v/>
      </c>
      <c r="I616" s="17">
        <v>0</v>
      </c>
      <c r="J616" s="17">
        <v>0</v>
      </c>
      <c r="K616" s="24" t="str">
        <f>IFERROR(VLOOKUP(B616,#REF!,11,FALSE),"")</f>
        <v/>
      </c>
      <c r="L616" s="17">
        <v>0</v>
      </c>
      <c r="M616" s="6" t="s">
        <v>758</v>
      </c>
      <c r="N616" s="18" t="str">
        <f>IFERROR(VLOOKUP(B616,#REF!,13,FALSE),"")</f>
        <v/>
      </c>
      <c r="O616" s="19" t="str">
        <f>IFERROR(VLOOKUP(B616,#REF!,14,FALSE),"")</f>
        <v/>
      </c>
      <c r="P616" s="19" t="str">
        <f>IFERROR(VLOOKUP(B616,#REF!,15,FALSE),"")</f>
        <v/>
      </c>
      <c r="Q616" s="19"/>
      <c r="R616" s="25" t="str">
        <f>IFERROR(VLOOKUP(B616,#REF!,16,FALSE),"")</f>
        <v/>
      </c>
      <c r="S616" s="17">
        <v>0</v>
      </c>
      <c r="T616" s="17">
        <v>0</v>
      </c>
      <c r="U616" s="17">
        <v>0</v>
      </c>
      <c r="V616" s="17">
        <v>0</v>
      </c>
      <c r="W616" s="20">
        <v>0</v>
      </c>
      <c r="X616" s="16">
        <v>0</v>
      </c>
      <c r="Y616" s="21">
        <v>0</v>
      </c>
      <c r="Z616" s="20">
        <v>625</v>
      </c>
      <c r="AA616" s="17">
        <v>332</v>
      </c>
      <c r="AB616" s="22">
        <v>0.5</v>
      </c>
      <c r="AC616" s="23">
        <f t="shared" si="59"/>
        <v>100</v>
      </c>
      <c r="AD616" s="17">
        <v>180</v>
      </c>
      <c r="AE616" s="17">
        <v>2737</v>
      </c>
      <c r="AF616" s="17">
        <v>250</v>
      </c>
      <c r="AG616" s="17">
        <v>203</v>
      </c>
      <c r="AH616" s="15" t="s">
        <v>42</v>
      </c>
    </row>
    <row r="617" spans="1:34">
      <c r="A617" s="13" t="str">
        <f t="shared" si="54"/>
        <v>FCST</v>
      </c>
      <c r="B617" s="14" t="s">
        <v>632</v>
      </c>
      <c r="C617" s="15" t="s">
        <v>277</v>
      </c>
      <c r="D617" s="19" t="str">
        <f t="shared" si="55"/>
        <v>前八週無拉料</v>
      </c>
      <c r="E617" s="16">
        <f t="shared" si="56"/>
        <v>4.5</v>
      </c>
      <c r="F617" s="16" t="str">
        <f t="shared" si="57"/>
        <v>--</v>
      </c>
      <c r="G617" s="16">
        <f t="shared" si="58"/>
        <v>0</v>
      </c>
      <c r="H617" s="24" t="str">
        <f>IFERROR(VLOOKUP(B617,#REF!,8,FALSE),"")</f>
        <v/>
      </c>
      <c r="I617" s="17">
        <v>0</v>
      </c>
      <c r="J617" s="17">
        <v>0</v>
      </c>
      <c r="K617" s="24" t="str">
        <f>IFERROR(VLOOKUP(B617,#REF!,11,FALSE),"")</f>
        <v/>
      </c>
      <c r="L617" s="17">
        <v>5000</v>
      </c>
      <c r="M617" s="6" t="s">
        <v>758</v>
      </c>
      <c r="N617" s="18" t="str">
        <f>IFERROR(VLOOKUP(B617,#REF!,13,FALSE),"")</f>
        <v/>
      </c>
      <c r="O617" s="19" t="str">
        <f>IFERROR(VLOOKUP(B617,#REF!,14,FALSE),"")</f>
        <v/>
      </c>
      <c r="P617" s="19" t="str">
        <f>IFERROR(VLOOKUP(B617,#REF!,15,FALSE),"")</f>
        <v/>
      </c>
      <c r="Q617" s="19"/>
      <c r="R617" s="25" t="str">
        <f>IFERROR(VLOOKUP(B617,#REF!,16,FALSE),"")</f>
        <v/>
      </c>
      <c r="S617" s="17">
        <v>0</v>
      </c>
      <c r="T617" s="17">
        <v>5000</v>
      </c>
      <c r="U617" s="17">
        <v>0</v>
      </c>
      <c r="V617" s="17">
        <v>0</v>
      </c>
      <c r="W617" s="20">
        <v>5000</v>
      </c>
      <c r="X617" s="16" t="s">
        <v>40</v>
      </c>
      <c r="Y617" s="21">
        <v>4.5</v>
      </c>
      <c r="Z617" s="20">
        <v>0</v>
      </c>
      <c r="AA617" s="17">
        <v>1111</v>
      </c>
      <c r="AB617" s="22" t="s">
        <v>51</v>
      </c>
      <c r="AC617" s="23" t="str">
        <f t="shared" si="59"/>
        <v>F</v>
      </c>
      <c r="AD617" s="17">
        <v>10000</v>
      </c>
      <c r="AE617" s="17">
        <v>0</v>
      </c>
      <c r="AF617" s="17">
        <v>0</v>
      </c>
      <c r="AG617" s="17">
        <v>0</v>
      </c>
      <c r="AH617" s="15" t="s">
        <v>42</v>
      </c>
    </row>
    <row r="618" spans="1:34">
      <c r="A618" s="13" t="str">
        <f t="shared" si="54"/>
        <v>None</v>
      </c>
      <c r="B618" s="14" t="s">
        <v>633</v>
      </c>
      <c r="C618" s="15" t="s">
        <v>277</v>
      </c>
      <c r="D618" s="19" t="str">
        <f t="shared" si="55"/>
        <v>前八週無拉料</v>
      </c>
      <c r="E618" s="16" t="str">
        <f t="shared" si="56"/>
        <v>--</v>
      </c>
      <c r="F618" s="16" t="str">
        <f t="shared" si="57"/>
        <v>--</v>
      </c>
      <c r="G618" s="16" t="str">
        <f t="shared" si="58"/>
        <v>--</v>
      </c>
      <c r="H618" s="24" t="str">
        <f>IFERROR(VLOOKUP(B618,#REF!,8,FALSE),"")</f>
        <v/>
      </c>
      <c r="I618" s="17">
        <v>0</v>
      </c>
      <c r="J618" s="17">
        <v>0</v>
      </c>
      <c r="K618" s="24" t="str">
        <f>IFERROR(VLOOKUP(B618,#REF!,11,FALSE),"")</f>
        <v/>
      </c>
      <c r="L618" s="17">
        <v>0</v>
      </c>
      <c r="M618" s="6" t="s">
        <v>758</v>
      </c>
      <c r="N618" s="18" t="str">
        <f>IFERROR(VLOOKUP(B618,#REF!,13,FALSE),"")</f>
        <v/>
      </c>
      <c r="O618" s="19" t="str">
        <f>IFERROR(VLOOKUP(B618,#REF!,14,FALSE),"")</f>
        <v/>
      </c>
      <c r="P618" s="19" t="str">
        <f>IFERROR(VLOOKUP(B618,#REF!,15,FALSE),"")</f>
        <v/>
      </c>
      <c r="Q618" s="19"/>
      <c r="R618" s="25" t="str">
        <f>IFERROR(VLOOKUP(B618,#REF!,16,FALSE),"")</f>
        <v/>
      </c>
      <c r="S618" s="17">
        <v>0</v>
      </c>
      <c r="T618" s="17">
        <v>0</v>
      </c>
      <c r="U618" s="17">
        <v>0</v>
      </c>
      <c r="V618" s="17">
        <v>0</v>
      </c>
      <c r="W618" s="20">
        <v>0</v>
      </c>
      <c r="X618" s="16" t="s">
        <v>40</v>
      </c>
      <c r="Y618" s="21" t="s">
        <v>40</v>
      </c>
      <c r="Z618" s="20">
        <v>0</v>
      </c>
      <c r="AA618" s="17" t="s">
        <v>40</v>
      </c>
      <c r="AB618" s="22" t="s">
        <v>41</v>
      </c>
      <c r="AC618" s="23" t="str">
        <f t="shared" si="59"/>
        <v>E</v>
      </c>
      <c r="AD618" s="17">
        <v>0</v>
      </c>
      <c r="AE618" s="17">
        <v>0</v>
      </c>
      <c r="AF618" s="17">
        <v>0</v>
      </c>
      <c r="AG618" s="17">
        <v>0</v>
      </c>
      <c r="AH618" s="15" t="s">
        <v>42</v>
      </c>
    </row>
    <row r="619" spans="1:34">
      <c r="A619" s="13" t="str">
        <f t="shared" si="54"/>
        <v>ZeroZero</v>
      </c>
      <c r="B619" s="14" t="s">
        <v>634</v>
      </c>
      <c r="C619" s="15" t="s">
        <v>277</v>
      </c>
      <c r="D619" s="19" t="str">
        <f t="shared" si="55"/>
        <v>前八週無拉料</v>
      </c>
      <c r="E619" s="16" t="str">
        <f t="shared" si="56"/>
        <v>--</v>
      </c>
      <c r="F619" s="16" t="str">
        <f t="shared" si="57"/>
        <v>--</v>
      </c>
      <c r="G619" s="16" t="str">
        <f t="shared" si="58"/>
        <v>--</v>
      </c>
      <c r="H619" s="24" t="str">
        <f>IFERROR(VLOOKUP(B619,#REF!,8,FALSE),"")</f>
        <v/>
      </c>
      <c r="I619" s="17">
        <v>800</v>
      </c>
      <c r="J619" s="17">
        <v>800</v>
      </c>
      <c r="K619" s="24" t="str">
        <f>IFERROR(VLOOKUP(B619,#REF!,11,FALSE),"")</f>
        <v/>
      </c>
      <c r="L619" s="17">
        <v>0</v>
      </c>
      <c r="M619" s="6" t="s">
        <v>758</v>
      </c>
      <c r="N619" s="18" t="str">
        <f>IFERROR(VLOOKUP(B619,#REF!,13,FALSE),"")</f>
        <v/>
      </c>
      <c r="O619" s="19" t="str">
        <f>IFERROR(VLOOKUP(B619,#REF!,14,FALSE),"")</f>
        <v/>
      </c>
      <c r="P619" s="19" t="str">
        <f>IFERROR(VLOOKUP(B619,#REF!,15,FALSE),"")</f>
        <v/>
      </c>
      <c r="Q619" s="19"/>
      <c r="R619" s="25" t="str">
        <f>IFERROR(VLOOKUP(B619,#REF!,16,FALSE),"")</f>
        <v/>
      </c>
      <c r="S619" s="17">
        <v>0</v>
      </c>
      <c r="T619" s="17">
        <v>0</v>
      </c>
      <c r="U619" s="17">
        <v>0</v>
      </c>
      <c r="V619" s="17">
        <v>0</v>
      </c>
      <c r="W619" s="20">
        <v>800</v>
      </c>
      <c r="X619" s="16" t="s">
        <v>40</v>
      </c>
      <c r="Y619" s="21" t="s">
        <v>40</v>
      </c>
      <c r="Z619" s="20">
        <v>0</v>
      </c>
      <c r="AA619" s="17" t="s">
        <v>40</v>
      </c>
      <c r="AB619" s="22" t="s">
        <v>41</v>
      </c>
      <c r="AC619" s="23" t="str">
        <f t="shared" si="59"/>
        <v>E</v>
      </c>
      <c r="AD619" s="17">
        <v>0</v>
      </c>
      <c r="AE619" s="17">
        <v>0</v>
      </c>
      <c r="AF619" s="17">
        <v>0</v>
      </c>
      <c r="AG619" s="17">
        <v>0</v>
      </c>
      <c r="AH619" s="15" t="s">
        <v>42</v>
      </c>
    </row>
    <row r="620" spans="1:34">
      <c r="A620" s="13" t="str">
        <f t="shared" si="54"/>
        <v>Normal</v>
      </c>
      <c r="B620" s="14" t="s">
        <v>637</v>
      </c>
      <c r="C620" s="15" t="s">
        <v>277</v>
      </c>
      <c r="D620" s="19">
        <f t="shared" si="55"/>
        <v>0.2</v>
      </c>
      <c r="E620" s="16" t="str">
        <f t="shared" si="56"/>
        <v>--</v>
      </c>
      <c r="F620" s="16">
        <f t="shared" si="57"/>
        <v>3.4</v>
      </c>
      <c r="G620" s="16" t="str">
        <f t="shared" si="58"/>
        <v>--</v>
      </c>
      <c r="H620" s="24" t="str">
        <f>IFERROR(VLOOKUP(B620,#REF!,8,FALSE),"")</f>
        <v/>
      </c>
      <c r="I620" s="17">
        <v>210000</v>
      </c>
      <c r="J620" s="17">
        <v>100000</v>
      </c>
      <c r="K620" s="24" t="str">
        <f>IFERROR(VLOOKUP(B620,#REF!,11,FALSE),"")</f>
        <v/>
      </c>
      <c r="L620" s="17">
        <v>15000</v>
      </c>
      <c r="M620" s="6" t="s">
        <v>761</v>
      </c>
      <c r="N620" s="18" t="str">
        <f>IFERROR(VLOOKUP(B620,#REF!,13,FALSE),"")</f>
        <v/>
      </c>
      <c r="O620" s="19" t="str">
        <f>IFERROR(VLOOKUP(B620,#REF!,14,FALSE),"")</f>
        <v/>
      </c>
      <c r="P620" s="19" t="str">
        <f>IFERROR(VLOOKUP(B620,#REF!,15,FALSE),"")</f>
        <v/>
      </c>
      <c r="Q620" s="19"/>
      <c r="R620" s="25" t="str">
        <f>IFERROR(VLOOKUP(B620,#REF!,16,FALSE),"")</f>
        <v/>
      </c>
      <c r="S620" s="17">
        <v>0</v>
      </c>
      <c r="T620" s="17">
        <v>15000</v>
      </c>
      <c r="U620" s="17">
        <v>0</v>
      </c>
      <c r="V620" s="17">
        <v>0</v>
      </c>
      <c r="W620" s="20">
        <v>225000</v>
      </c>
      <c r="X620" s="16">
        <v>3.6</v>
      </c>
      <c r="Y620" s="21" t="s">
        <v>40</v>
      </c>
      <c r="Z620" s="20">
        <v>61875</v>
      </c>
      <c r="AA620" s="17" t="s">
        <v>40</v>
      </c>
      <c r="AB620" s="22" t="s">
        <v>41</v>
      </c>
      <c r="AC620" s="23" t="str">
        <f t="shared" si="59"/>
        <v>E</v>
      </c>
      <c r="AD620" s="17">
        <v>0</v>
      </c>
      <c r="AE620" s="17">
        <v>0</v>
      </c>
      <c r="AF620" s="17">
        <v>0</v>
      </c>
      <c r="AG620" s="17">
        <v>0</v>
      </c>
      <c r="AH620" s="15" t="s">
        <v>42</v>
      </c>
    </row>
    <row r="621" spans="1:34">
      <c r="A621" s="13" t="str">
        <f t="shared" si="54"/>
        <v>FCST</v>
      </c>
      <c r="B621" s="14" t="s">
        <v>638</v>
      </c>
      <c r="C621" s="15" t="s">
        <v>277</v>
      </c>
      <c r="D621" s="19" t="str">
        <f t="shared" si="55"/>
        <v>前八週無拉料</v>
      </c>
      <c r="E621" s="16">
        <f t="shared" si="56"/>
        <v>0</v>
      </c>
      <c r="F621" s="16" t="str">
        <f t="shared" si="57"/>
        <v>--</v>
      </c>
      <c r="G621" s="16">
        <f t="shared" si="58"/>
        <v>0</v>
      </c>
      <c r="H621" s="24" t="str">
        <f>IFERROR(VLOOKUP(B621,#REF!,8,FALSE),"")</f>
        <v/>
      </c>
      <c r="I621" s="17">
        <v>0</v>
      </c>
      <c r="J621" s="17">
        <v>0</v>
      </c>
      <c r="K621" s="24" t="str">
        <f>IFERROR(VLOOKUP(B621,#REF!,11,FALSE),"")</f>
        <v/>
      </c>
      <c r="L621" s="17">
        <v>0</v>
      </c>
      <c r="M621" s="6" t="s">
        <v>758</v>
      </c>
      <c r="N621" s="18" t="str">
        <f>IFERROR(VLOOKUP(B621,#REF!,13,FALSE),"")</f>
        <v/>
      </c>
      <c r="O621" s="19" t="str">
        <f>IFERROR(VLOOKUP(B621,#REF!,14,FALSE),"")</f>
        <v/>
      </c>
      <c r="P621" s="19" t="str">
        <f>IFERROR(VLOOKUP(B621,#REF!,15,FALSE),"")</f>
        <v/>
      </c>
      <c r="Q621" s="19"/>
      <c r="R621" s="25" t="str">
        <f>IFERROR(VLOOKUP(B621,#REF!,16,FALSE),"")</f>
        <v/>
      </c>
      <c r="S621" s="17">
        <v>0</v>
      </c>
      <c r="T621" s="17">
        <v>0</v>
      </c>
      <c r="U621" s="17">
        <v>0</v>
      </c>
      <c r="V621" s="17">
        <v>0</v>
      </c>
      <c r="W621" s="20">
        <v>0</v>
      </c>
      <c r="X621" s="16" t="s">
        <v>40</v>
      </c>
      <c r="Y621" s="21">
        <v>0</v>
      </c>
      <c r="Z621" s="20">
        <v>0</v>
      </c>
      <c r="AA621" s="17">
        <v>556</v>
      </c>
      <c r="AB621" s="22" t="s">
        <v>51</v>
      </c>
      <c r="AC621" s="23" t="str">
        <f t="shared" si="59"/>
        <v>F</v>
      </c>
      <c r="AD621" s="17">
        <v>0</v>
      </c>
      <c r="AE621" s="17">
        <v>0</v>
      </c>
      <c r="AF621" s="17">
        <v>5000</v>
      </c>
      <c r="AG621" s="17">
        <v>0</v>
      </c>
      <c r="AH621" s="15" t="s">
        <v>42</v>
      </c>
    </row>
    <row r="622" spans="1:34">
      <c r="A622" s="13" t="str">
        <f t="shared" si="54"/>
        <v>Normal</v>
      </c>
      <c r="B622" s="14" t="s">
        <v>639</v>
      </c>
      <c r="C622" s="15" t="s">
        <v>277</v>
      </c>
      <c r="D622" s="19">
        <f t="shared" si="55"/>
        <v>2.6</v>
      </c>
      <c r="E622" s="16" t="str">
        <f t="shared" si="56"/>
        <v>--</v>
      </c>
      <c r="F622" s="16">
        <f t="shared" si="57"/>
        <v>2.2000000000000002</v>
      </c>
      <c r="G622" s="16" t="str">
        <f t="shared" si="58"/>
        <v>--</v>
      </c>
      <c r="H622" s="24" t="str">
        <f>IFERROR(VLOOKUP(B622,#REF!,8,FALSE),"")</f>
        <v/>
      </c>
      <c r="I622" s="17">
        <v>135000</v>
      </c>
      <c r="J622" s="17">
        <v>0</v>
      </c>
      <c r="K622" s="24" t="str">
        <f>IFERROR(VLOOKUP(B622,#REF!,11,FALSE),"")</f>
        <v/>
      </c>
      <c r="L622" s="17">
        <v>159000</v>
      </c>
      <c r="M622" s="6" t="s">
        <v>761</v>
      </c>
      <c r="N622" s="18" t="str">
        <f>IFERROR(VLOOKUP(B622,#REF!,13,FALSE),"")</f>
        <v/>
      </c>
      <c r="O622" s="19" t="str">
        <f>IFERROR(VLOOKUP(B622,#REF!,14,FALSE),"")</f>
        <v/>
      </c>
      <c r="P622" s="19" t="str">
        <f>IFERROR(VLOOKUP(B622,#REF!,15,FALSE),"")</f>
        <v/>
      </c>
      <c r="Q622" s="19"/>
      <c r="R622" s="25" t="str">
        <f>IFERROR(VLOOKUP(B622,#REF!,16,FALSE),"")</f>
        <v/>
      </c>
      <c r="S622" s="17">
        <v>0</v>
      </c>
      <c r="T622" s="17">
        <v>159000</v>
      </c>
      <c r="U622" s="17">
        <v>0</v>
      </c>
      <c r="V622" s="17">
        <v>0</v>
      </c>
      <c r="W622" s="20">
        <v>294000</v>
      </c>
      <c r="X622" s="16">
        <v>4.7</v>
      </c>
      <c r="Y622" s="21" t="s">
        <v>40</v>
      </c>
      <c r="Z622" s="20">
        <v>62250</v>
      </c>
      <c r="AA622" s="17" t="s">
        <v>40</v>
      </c>
      <c r="AB622" s="22" t="s">
        <v>41</v>
      </c>
      <c r="AC622" s="23" t="str">
        <f t="shared" si="59"/>
        <v>E</v>
      </c>
      <c r="AD622" s="17">
        <v>0</v>
      </c>
      <c r="AE622" s="17">
        <v>0</v>
      </c>
      <c r="AF622" s="17">
        <v>0</v>
      </c>
      <c r="AG622" s="17">
        <v>0</v>
      </c>
      <c r="AH622" s="15" t="s">
        <v>42</v>
      </c>
    </row>
    <row r="623" spans="1:34">
      <c r="A623" s="13" t="str">
        <f t="shared" si="54"/>
        <v>Normal</v>
      </c>
      <c r="B623" s="14" t="s">
        <v>640</v>
      </c>
      <c r="C623" s="15" t="s">
        <v>277</v>
      </c>
      <c r="D623" s="19">
        <f t="shared" si="55"/>
        <v>0</v>
      </c>
      <c r="E623" s="16">
        <f t="shared" si="56"/>
        <v>0</v>
      </c>
      <c r="F623" s="16">
        <f t="shared" si="57"/>
        <v>1.3</v>
      </c>
      <c r="G623" s="16">
        <f t="shared" si="58"/>
        <v>4.5</v>
      </c>
      <c r="H623" s="24" t="str">
        <f>IFERROR(VLOOKUP(B623,#REF!,8,FALSE),"")</f>
        <v/>
      </c>
      <c r="I623" s="17">
        <v>3000</v>
      </c>
      <c r="J623" s="17">
        <v>3000</v>
      </c>
      <c r="K623" s="24" t="str">
        <f>IFERROR(VLOOKUP(B623,#REF!,11,FALSE),"")</f>
        <v/>
      </c>
      <c r="L623" s="17">
        <v>0</v>
      </c>
      <c r="M623" s="6" t="s">
        <v>748</v>
      </c>
      <c r="N623" s="18" t="str">
        <f>IFERROR(VLOOKUP(B623,#REF!,13,FALSE),"")</f>
        <v/>
      </c>
      <c r="O623" s="19" t="str">
        <f>IFERROR(VLOOKUP(B623,#REF!,14,FALSE),"")</f>
        <v/>
      </c>
      <c r="P623" s="19" t="str">
        <f>IFERROR(VLOOKUP(B623,#REF!,15,FALSE),"")</f>
        <v/>
      </c>
      <c r="Q623" s="19"/>
      <c r="R623" s="25" t="str">
        <f>IFERROR(VLOOKUP(B623,#REF!,16,FALSE),"")</f>
        <v/>
      </c>
      <c r="S623" s="17">
        <v>0</v>
      </c>
      <c r="T623" s="17">
        <v>0</v>
      </c>
      <c r="U623" s="17">
        <v>0</v>
      </c>
      <c r="V623" s="17">
        <v>0</v>
      </c>
      <c r="W623" s="20">
        <v>3000</v>
      </c>
      <c r="X623" s="16">
        <v>1.3</v>
      </c>
      <c r="Y623" s="21">
        <v>4.5</v>
      </c>
      <c r="Z623" s="20">
        <v>2250</v>
      </c>
      <c r="AA623" s="17">
        <v>667</v>
      </c>
      <c r="AB623" s="22">
        <v>0.3</v>
      </c>
      <c r="AC623" s="23">
        <f t="shared" si="59"/>
        <v>50</v>
      </c>
      <c r="AD623" s="17">
        <v>6000</v>
      </c>
      <c r="AE623" s="17">
        <v>0</v>
      </c>
      <c r="AF623" s="17">
        <v>0</v>
      </c>
      <c r="AG623" s="17">
        <v>0</v>
      </c>
      <c r="AH623" s="15" t="s">
        <v>42</v>
      </c>
    </row>
    <row r="624" spans="1:34">
      <c r="A624" s="13" t="str">
        <f t="shared" si="54"/>
        <v>FCST</v>
      </c>
      <c r="B624" s="14" t="s">
        <v>641</v>
      </c>
      <c r="C624" s="15" t="s">
        <v>277</v>
      </c>
      <c r="D624" s="19" t="str">
        <f t="shared" si="55"/>
        <v>前八週無拉料</v>
      </c>
      <c r="E624" s="16">
        <f t="shared" si="56"/>
        <v>0</v>
      </c>
      <c r="F624" s="16" t="str">
        <f t="shared" si="57"/>
        <v>--</v>
      </c>
      <c r="G624" s="16">
        <f t="shared" si="58"/>
        <v>0</v>
      </c>
      <c r="H624" s="24" t="str">
        <f>IFERROR(VLOOKUP(B624,#REF!,8,FALSE),"")</f>
        <v/>
      </c>
      <c r="I624" s="17">
        <v>0</v>
      </c>
      <c r="J624" s="17">
        <v>0</v>
      </c>
      <c r="K624" s="24" t="str">
        <f>IFERROR(VLOOKUP(B624,#REF!,11,FALSE),"")</f>
        <v/>
      </c>
      <c r="L624" s="17">
        <v>0</v>
      </c>
      <c r="M624" s="6" t="s">
        <v>748</v>
      </c>
      <c r="N624" s="18" t="str">
        <f>IFERROR(VLOOKUP(B624,#REF!,13,FALSE),"")</f>
        <v/>
      </c>
      <c r="O624" s="19" t="str">
        <f>IFERROR(VLOOKUP(B624,#REF!,14,FALSE),"")</f>
        <v/>
      </c>
      <c r="P624" s="19" t="str">
        <f>IFERROR(VLOOKUP(B624,#REF!,15,FALSE),"")</f>
        <v/>
      </c>
      <c r="Q624" s="19"/>
      <c r="R624" s="25" t="str">
        <f>IFERROR(VLOOKUP(B624,#REF!,16,FALSE),"")</f>
        <v/>
      </c>
      <c r="S624" s="17">
        <v>0</v>
      </c>
      <c r="T624" s="17">
        <v>0</v>
      </c>
      <c r="U624" s="17">
        <v>0</v>
      </c>
      <c r="V624" s="17">
        <v>0</v>
      </c>
      <c r="W624" s="20">
        <v>0</v>
      </c>
      <c r="X624" s="16" t="s">
        <v>40</v>
      </c>
      <c r="Y624" s="21">
        <v>0</v>
      </c>
      <c r="Z624" s="20">
        <v>0</v>
      </c>
      <c r="AA624" s="17">
        <v>334</v>
      </c>
      <c r="AB624" s="22" t="s">
        <v>51</v>
      </c>
      <c r="AC624" s="23" t="str">
        <f t="shared" si="59"/>
        <v>F</v>
      </c>
      <c r="AD624" s="17">
        <v>330</v>
      </c>
      <c r="AE624" s="17">
        <v>1696</v>
      </c>
      <c r="AF624" s="17">
        <v>1400</v>
      </c>
      <c r="AG624" s="17">
        <v>1894</v>
      </c>
      <c r="AH624" s="15" t="s">
        <v>42</v>
      </c>
    </row>
    <row r="625" spans="1:34">
      <c r="A625" s="13" t="str">
        <f t="shared" si="54"/>
        <v>OverStock</v>
      </c>
      <c r="B625" s="14" t="s">
        <v>643</v>
      </c>
      <c r="C625" s="15" t="s">
        <v>277</v>
      </c>
      <c r="D625" s="19">
        <f t="shared" si="55"/>
        <v>18.100000000000001</v>
      </c>
      <c r="E625" s="16" t="str">
        <f t="shared" si="56"/>
        <v>--</v>
      </c>
      <c r="F625" s="16">
        <f t="shared" si="57"/>
        <v>0</v>
      </c>
      <c r="G625" s="16" t="str">
        <f t="shared" si="58"/>
        <v>--</v>
      </c>
      <c r="H625" s="24" t="str">
        <f>IFERROR(VLOOKUP(B625,#REF!,8,FALSE),"")</f>
        <v/>
      </c>
      <c r="I625" s="17">
        <v>0</v>
      </c>
      <c r="J625" s="17">
        <v>0</v>
      </c>
      <c r="K625" s="24" t="str">
        <f>IFERROR(VLOOKUP(B625,#REF!,11,FALSE),"")</f>
        <v/>
      </c>
      <c r="L625" s="17">
        <v>6773</v>
      </c>
      <c r="M625" s="6" t="s">
        <v>758</v>
      </c>
      <c r="N625" s="18" t="str">
        <f>IFERROR(VLOOKUP(B625,#REF!,13,FALSE),"")</f>
        <v/>
      </c>
      <c r="O625" s="19" t="str">
        <f>IFERROR(VLOOKUP(B625,#REF!,14,FALSE),"")</f>
        <v/>
      </c>
      <c r="P625" s="19" t="str">
        <f>IFERROR(VLOOKUP(B625,#REF!,15,FALSE),"")</f>
        <v/>
      </c>
      <c r="Q625" s="19"/>
      <c r="R625" s="25" t="str">
        <f>IFERROR(VLOOKUP(B625,#REF!,16,FALSE),"")</f>
        <v/>
      </c>
      <c r="S625" s="17">
        <v>0</v>
      </c>
      <c r="T625" s="17">
        <v>6773</v>
      </c>
      <c r="U625" s="17">
        <v>0</v>
      </c>
      <c r="V625" s="17">
        <v>0</v>
      </c>
      <c r="W625" s="20">
        <v>6773</v>
      </c>
      <c r="X625" s="16">
        <v>18.100000000000001</v>
      </c>
      <c r="Y625" s="21" t="s">
        <v>40</v>
      </c>
      <c r="Z625" s="20">
        <v>375</v>
      </c>
      <c r="AA625" s="17">
        <v>0</v>
      </c>
      <c r="AB625" s="22" t="s">
        <v>41</v>
      </c>
      <c r="AC625" s="23" t="str">
        <f t="shared" si="59"/>
        <v>E</v>
      </c>
      <c r="AD625" s="17">
        <v>0</v>
      </c>
      <c r="AE625" s="17">
        <v>0</v>
      </c>
      <c r="AF625" s="17">
        <v>0</v>
      </c>
      <c r="AG625" s="17">
        <v>3000</v>
      </c>
      <c r="AH625" s="15" t="s">
        <v>42</v>
      </c>
    </row>
    <row r="626" spans="1:34">
      <c r="A626" s="13" t="str">
        <f t="shared" si="54"/>
        <v>OverStock</v>
      </c>
      <c r="B626" s="14" t="s">
        <v>644</v>
      </c>
      <c r="C626" s="15" t="s">
        <v>277</v>
      </c>
      <c r="D626" s="19">
        <f t="shared" si="55"/>
        <v>3</v>
      </c>
      <c r="E626" s="16">
        <f t="shared" si="56"/>
        <v>5.2</v>
      </c>
      <c r="F626" s="16">
        <f t="shared" si="57"/>
        <v>18.5</v>
      </c>
      <c r="G626" s="16">
        <f t="shared" si="58"/>
        <v>32.200000000000003</v>
      </c>
      <c r="H626" s="24" t="str">
        <f>IFERROR(VLOOKUP(B626,#REF!,8,FALSE),"")</f>
        <v/>
      </c>
      <c r="I626" s="17">
        <v>295000</v>
      </c>
      <c r="J626" s="17">
        <v>167500</v>
      </c>
      <c r="K626" s="24" t="str">
        <f>IFERROR(VLOOKUP(B626,#REF!,11,FALSE),"")</f>
        <v/>
      </c>
      <c r="L626" s="17">
        <v>47500</v>
      </c>
      <c r="M626" s="6" t="s">
        <v>760</v>
      </c>
      <c r="N626" s="18" t="str">
        <f>IFERROR(VLOOKUP(B626,#REF!,13,FALSE),"")</f>
        <v/>
      </c>
      <c r="O626" s="19" t="str">
        <f>IFERROR(VLOOKUP(B626,#REF!,14,FALSE),"")</f>
        <v/>
      </c>
      <c r="P626" s="19" t="str">
        <f>IFERROR(VLOOKUP(B626,#REF!,15,FALSE),"")</f>
        <v/>
      </c>
      <c r="Q626" s="19"/>
      <c r="R626" s="25" t="str">
        <f>IFERROR(VLOOKUP(B626,#REF!,16,FALSE),"")</f>
        <v/>
      </c>
      <c r="S626" s="17">
        <v>0</v>
      </c>
      <c r="T626" s="17">
        <v>47500</v>
      </c>
      <c r="U626" s="17">
        <v>0</v>
      </c>
      <c r="V626" s="17">
        <v>0</v>
      </c>
      <c r="W626" s="20">
        <v>342500</v>
      </c>
      <c r="X626" s="16">
        <v>21.5</v>
      </c>
      <c r="Y626" s="21">
        <v>37.4</v>
      </c>
      <c r="Z626" s="20">
        <v>15938</v>
      </c>
      <c r="AA626" s="17">
        <v>9167</v>
      </c>
      <c r="AB626" s="22">
        <v>0.6</v>
      </c>
      <c r="AC626" s="23">
        <f t="shared" si="59"/>
        <v>100</v>
      </c>
      <c r="AD626" s="17">
        <v>0</v>
      </c>
      <c r="AE626" s="17">
        <v>47500</v>
      </c>
      <c r="AF626" s="17">
        <v>35000</v>
      </c>
      <c r="AG626" s="17">
        <v>45000</v>
      </c>
      <c r="AH626" s="15" t="s">
        <v>42</v>
      </c>
    </row>
    <row r="627" spans="1:34">
      <c r="A627" s="13" t="str">
        <f t="shared" si="54"/>
        <v>Normal</v>
      </c>
      <c r="B627" s="14" t="s">
        <v>645</v>
      </c>
      <c r="C627" s="15" t="s">
        <v>277</v>
      </c>
      <c r="D627" s="19">
        <f t="shared" si="55"/>
        <v>2.1</v>
      </c>
      <c r="E627" s="16">
        <f t="shared" si="56"/>
        <v>9</v>
      </c>
      <c r="F627" s="16">
        <f t="shared" si="57"/>
        <v>8.5</v>
      </c>
      <c r="G627" s="16">
        <f t="shared" si="58"/>
        <v>36</v>
      </c>
      <c r="H627" s="24" t="str">
        <f>IFERROR(VLOOKUP(B627,#REF!,8,FALSE),"")</f>
        <v/>
      </c>
      <c r="I627" s="17">
        <v>40000</v>
      </c>
      <c r="J627" s="17">
        <v>40000</v>
      </c>
      <c r="K627" s="24" t="str">
        <f>IFERROR(VLOOKUP(B627,#REF!,11,FALSE),"")</f>
        <v/>
      </c>
      <c r="L627" s="17">
        <v>10000</v>
      </c>
      <c r="M627" s="6" t="s">
        <v>764</v>
      </c>
      <c r="N627" s="18" t="str">
        <f>IFERROR(VLOOKUP(B627,#REF!,13,FALSE),"")</f>
        <v/>
      </c>
      <c r="O627" s="19" t="str">
        <f>IFERROR(VLOOKUP(B627,#REF!,14,FALSE),"")</f>
        <v/>
      </c>
      <c r="P627" s="19" t="str">
        <f>IFERROR(VLOOKUP(B627,#REF!,15,FALSE),"")</f>
        <v/>
      </c>
      <c r="Q627" s="19"/>
      <c r="R627" s="25" t="str">
        <f>IFERROR(VLOOKUP(B627,#REF!,16,FALSE),"")</f>
        <v/>
      </c>
      <c r="S627" s="17">
        <v>0</v>
      </c>
      <c r="T627" s="17">
        <v>10000</v>
      </c>
      <c r="U627" s="17">
        <v>0</v>
      </c>
      <c r="V627" s="17">
        <v>0</v>
      </c>
      <c r="W627" s="20">
        <v>50000</v>
      </c>
      <c r="X627" s="16">
        <v>10.7</v>
      </c>
      <c r="Y627" s="21">
        <v>45</v>
      </c>
      <c r="Z627" s="20">
        <v>4688</v>
      </c>
      <c r="AA627" s="17">
        <v>1111</v>
      </c>
      <c r="AB627" s="22">
        <v>0.2</v>
      </c>
      <c r="AC627" s="23">
        <f t="shared" si="59"/>
        <v>50</v>
      </c>
      <c r="AD627" s="17">
        <v>0</v>
      </c>
      <c r="AE627" s="17">
        <v>0</v>
      </c>
      <c r="AF627" s="17">
        <v>10000</v>
      </c>
      <c r="AG627" s="17">
        <v>10000</v>
      </c>
      <c r="AH627" s="15" t="s">
        <v>42</v>
      </c>
    </row>
    <row r="628" spans="1:34">
      <c r="A628" s="13" t="str">
        <f t="shared" si="54"/>
        <v>OverStock</v>
      </c>
      <c r="B628" s="14" t="s">
        <v>647</v>
      </c>
      <c r="C628" s="15" t="s">
        <v>277</v>
      </c>
      <c r="D628" s="19">
        <f t="shared" si="55"/>
        <v>4</v>
      </c>
      <c r="E628" s="16">
        <f t="shared" si="56"/>
        <v>7.5</v>
      </c>
      <c r="F628" s="16">
        <f t="shared" si="57"/>
        <v>15.6</v>
      </c>
      <c r="G628" s="16">
        <f t="shared" si="58"/>
        <v>29.3</v>
      </c>
      <c r="H628" s="24" t="str">
        <f>IFERROR(VLOOKUP(B628,#REF!,8,FALSE),"")</f>
        <v/>
      </c>
      <c r="I628" s="17">
        <v>117000</v>
      </c>
      <c r="J628" s="17">
        <v>51000</v>
      </c>
      <c r="K628" s="24" t="str">
        <f>IFERROR(VLOOKUP(B628,#REF!,11,FALSE),"")</f>
        <v/>
      </c>
      <c r="L628" s="17">
        <v>30000</v>
      </c>
      <c r="M628" s="6" t="s">
        <v>758</v>
      </c>
      <c r="N628" s="18" t="str">
        <f>IFERROR(VLOOKUP(B628,#REF!,13,FALSE),"")</f>
        <v/>
      </c>
      <c r="O628" s="19" t="str">
        <f>IFERROR(VLOOKUP(B628,#REF!,14,FALSE),"")</f>
        <v/>
      </c>
      <c r="P628" s="19" t="str">
        <f>IFERROR(VLOOKUP(B628,#REF!,15,FALSE),"")</f>
        <v/>
      </c>
      <c r="Q628" s="19"/>
      <c r="R628" s="25" t="str">
        <f>IFERROR(VLOOKUP(B628,#REF!,16,FALSE),"")</f>
        <v/>
      </c>
      <c r="S628" s="17">
        <v>0</v>
      </c>
      <c r="T628" s="17">
        <v>30000</v>
      </c>
      <c r="U628" s="17">
        <v>0</v>
      </c>
      <c r="V628" s="17">
        <v>0</v>
      </c>
      <c r="W628" s="20">
        <v>147000</v>
      </c>
      <c r="X628" s="16">
        <v>19.600000000000001</v>
      </c>
      <c r="Y628" s="21">
        <v>36.799999999999997</v>
      </c>
      <c r="Z628" s="20">
        <v>7500</v>
      </c>
      <c r="AA628" s="17">
        <v>4000</v>
      </c>
      <c r="AB628" s="22">
        <v>0.5</v>
      </c>
      <c r="AC628" s="23">
        <f t="shared" si="59"/>
        <v>100</v>
      </c>
      <c r="AD628" s="17">
        <v>3000</v>
      </c>
      <c r="AE628" s="17">
        <v>18000</v>
      </c>
      <c r="AF628" s="17">
        <v>15000</v>
      </c>
      <c r="AG628" s="17">
        <v>21000</v>
      </c>
      <c r="AH628" s="15" t="s">
        <v>42</v>
      </c>
    </row>
    <row r="629" spans="1:34">
      <c r="A629" s="13" t="str">
        <f t="shared" si="54"/>
        <v>FCST</v>
      </c>
      <c r="B629" s="14" t="s">
        <v>649</v>
      </c>
      <c r="C629" s="15" t="s">
        <v>277</v>
      </c>
      <c r="D629" s="19" t="str">
        <f t="shared" si="55"/>
        <v>前八週無拉料</v>
      </c>
      <c r="E629" s="16">
        <f t="shared" si="56"/>
        <v>0</v>
      </c>
      <c r="F629" s="16" t="str">
        <f t="shared" si="57"/>
        <v>--</v>
      </c>
      <c r="G629" s="16">
        <f t="shared" si="58"/>
        <v>0</v>
      </c>
      <c r="H629" s="24" t="str">
        <f>IFERROR(VLOOKUP(B629,#REF!,8,FALSE),"")</f>
        <v/>
      </c>
      <c r="I629" s="17">
        <v>0</v>
      </c>
      <c r="J629" s="17">
        <v>0</v>
      </c>
      <c r="K629" s="24" t="str">
        <f>IFERROR(VLOOKUP(B629,#REF!,11,FALSE),"")</f>
        <v/>
      </c>
      <c r="L629" s="17">
        <v>0</v>
      </c>
      <c r="M629" s="6" t="s">
        <v>758</v>
      </c>
      <c r="N629" s="18" t="str">
        <f>IFERROR(VLOOKUP(B629,#REF!,13,FALSE),"")</f>
        <v/>
      </c>
      <c r="O629" s="19" t="str">
        <f>IFERROR(VLOOKUP(B629,#REF!,14,FALSE),"")</f>
        <v/>
      </c>
      <c r="P629" s="19" t="str">
        <f>IFERROR(VLOOKUP(B629,#REF!,15,FALSE),"")</f>
        <v/>
      </c>
      <c r="Q629" s="19"/>
      <c r="R629" s="25" t="str">
        <f>IFERROR(VLOOKUP(B629,#REF!,16,FALSE),"")</f>
        <v/>
      </c>
      <c r="S629" s="17">
        <v>0</v>
      </c>
      <c r="T629" s="17">
        <v>0</v>
      </c>
      <c r="U629" s="17">
        <v>0</v>
      </c>
      <c r="V629" s="17">
        <v>0</v>
      </c>
      <c r="W629" s="20">
        <v>0</v>
      </c>
      <c r="X629" s="16" t="s">
        <v>40</v>
      </c>
      <c r="Y629" s="21">
        <v>0</v>
      </c>
      <c r="Z629" s="20">
        <v>0</v>
      </c>
      <c r="AA629" s="17">
        <v>245</v>
      </c>
      <c r="AB629" s="22" t="s">
        <v>51</v>
      </c>
      <c r="AC629" s="23" t="str">
        <f t="shared" si="59"/>
        <v>F</v>
      </c>
      <c r="AD629" s="17">
        <v>210</v>
      </c>
      <c r="AE629" s="17">
        <v>1196</v>
      </c>
      <c r="AF629" s="17">
        <v>800</v>
      </c>
      <c r="AG629" s="17">
        <v>1100</v>
      </c>
      <c r="AH629" s="15" t="s">
        <v>42</v>
      </c>
    </row>
    <row r="630" spans="1:34">
      <c r="A630" s="13" t="str">
        <f t="shared" si="54"/>
        <v>OverStock</v>
      </c>
      <c r="B630" s="14" t="s">
        <v>650</v>
      </c>
      <c r="C630" s="15" t="s">
        <v>277</v>
      </c>
      <c r="D630" s="19">
        <f t="shared" si="55"/>
        <v>39.9</v>
      </c>
      <c r="E630" s="16" t="str">
        <f t="shared" si="56"/>
        <v>--</v>
      </c>
      <c r="F630" s="16">
        <f t="shared" si="57"/>
        <v>0</v>
      </c>
      <c r="G630" s="16" t="str">
        <f t="shared" si="58"/>
        <v>--</v>
      </c>
      <c r="H630" s="24" t="str">
        <f>IFERROR(VLOOKUP(B630,#REF!,8,FALSE),"")</f>
        <v/>
      </c>
      <c r="I630" s="17">
        <v>0</v>
      </c>
      <c r="J630" s="17">
        <v>0</v>
      </c>
      <c r="K630" s="24" t="str">
        <f>IFERROR(VLOOKUP(B630,#REF!,11,FALSE),"")</f>
        <v/>
      </c>
      <c r="L630" s="17">
        <v>12500</v>
      </c>
      <c r="M630" s="6" t="s">
        <v>752</v>
      </c>
      <c r="N630" s="18" t="str">
        <f>IFERROR(VLOOKUP(B630,#REF!,13,FALSE),"")</f>
        <v/>
      </c>
      <c r="O630" s="19" t="str">
        <f>IFERROR(VLOOKUP(B630,#REF!,14,FALSE),"")</f>
        <v/>
      </c>
      <c r="P630" s="19" t="str">
        <f>IFERROR(VLOOKUP(B630,#REF!,15,FALSE),"")</f>
        <v/>
      </c>
      <c r="Q630" s="19"/>
      <c r="R630" s="25" t="str">
        <f>IFERROR(VLOOKUP(B630,#REF!,16,FALSE),"")</f>
        <v/>
      </c>
      <c r="S630" s="17">
        <v>0</v>
      </c>
      <c r="T630" s="17">
        <v>12500</v>
      </c>
      <c r="U630" s="17">
        <v>0</v>
      </c>
      <c r="V630" s="17">
        <v>0</v>
      </c>
      <c r="W630" s="20">
        <v>12500</v>
      </c>
      <c r="X630" s="16">
        <v>39.9</v>
      </c>
      <c r="Y630" s="21" t="s">
        <v>40</v>
      </c>
      <c r="Z630" s="20">
        <v>313</v>
      </c>
      <c r="AA630" s="17" t="s">
        <v>40</v>
      </c>
      <c r="AB630" s="22" t="s">
        <v>41</v>
      </c>
      <c r="AC630" s="23" t="str">
        <f t="shared" si="59"/>
        <v>E</v>
      </c>
      <c r="AD630" s="17">
        <v>0</v>
      </c>
      <c r="AE630" s="17">
        <v>0</v>
      </c>
      <c r="AF630" s="17">
        <v>0</v>
      </c>
      <c r="AG630" s="17">
        <v>0</v>
      </c>
      <c r="AH630" s="15" t="s">
        <v>42</v>
      </c>
    </row>
    <row r="631" spans="1:34">
      <c r="A631" s="13" t="str">
        <f t="shared" si="54"/>
        <v>None</v>
      </c>
      <c r="B631" s="14" t="s">
        <v>652</v>
      </c>
      <c r="C631" s="15" t="s">
        <v>277</v>
      </c>
      <c r="D631" s="19" t="str">
        <f t="shared" si="55"/>
        <v>前八週無拉料</v>
      </c>
      <c r="E631" s="16" t="str">
        <f t="shared" si="56"/>
        <v>--</v>
      </c>
      <c r="F631" s="16" t="str">
        <f t="shared" si="57"/>
        <v>--</v>
      </c>
      <c r="G631" s="16" t="str">
        <f t="shared" si="58"/>
        <v>--</v>
      </c>
      <c r="H631" s="24" t="str">
        <f>IFERROR(VLOOKUP(B631,#REF!,8,FALSE),"")</f>
        <v/>
      </c>
      <c r="I631" s="17">
        <v>0</v>
      </c>
      <c r="J631" s="17">
        <v>0</v>
      </c>
      <c r="K631" s="24" t="str">
        <f>IFERROR(VLOOKUP(B631,#REF!,11,FALSE),"")</f>
        <v/>
      </c>
      <c r="L631" s="17">
        <v>0</v>
      </c>
      <c r="M631" s="6" t="s">
        <v>758</v>
      </c>
      <c r="N631" s="18" t="str">
        <f>IFERROR(VLOOKUP(B631,#REF!,13,FALSE),"")</f>
        <v/>
      </c>
      <c r="O631" s="19" t="str">
        <f>IFERROR(VLOOKUP(B631,#REF!,14,FALSE),"")</f>
        <v/>
      </c>
      <c r="P631" s="19" t="str">
        <f>IFERROR(VLOOKUP(B631,#REF!,15,FALSE),"")</f>
        <v/>
      </c>
      <c r="Q631" s="19"/>
      <c r="R631" s="25" t="str">
        <f>IFERROR(VLOOKUP(B631,#REF!,16,FALSE),"")</f>
        <v/>
      </c>
      <c r="S631" s="17">
        <v>0</v>
      </c>
      <c r="T631" s="17">
        <v>0</v>
      </c>
      <c r="U631" s="17">
        <v>0</v>
      </c>
      <c r="V631" s="17">
        <v>0</v>
      </c>
      <c r="W631" s="20">
        <v>0</v>
      </c>
      <c r="X631" s="16" t="s">
        <v>40</v>
      </c>
      <c r="Y631" s="21" t="s">
        <v>40</v>
      </c>
      <c r="Z631" s="20">
        <v>0</v>
      </c>
      <c r="AA631" s="17" t="s">
        <v>40</v>
      </c>
      <c r="AB631" s="22" t="s">
        <v>41</v>
      </c>
      <c r="AC631" s="23" t="str">
        <f t="shared" si="59"/>
        <v>E</v>
      </c>
      <c r="AD631" s="17">
        <v>0</v>
      </c>
      <c r="AE631" s="17">
        <v>0</v>
      </c>
      <c r="AF631" s="17">
        <v>0</v>
      </c>
      <c r="AG631" s="17">
        <v>0</v>
      </c>
      <c r="AH631" s="15" t="s">
        <v>42</v>
      </c>
    </row>
    <row r="632" spans="1:34">
      <c r="A632" s="13" t="str">
        <f t="shared" si="54"/>
        <v>Normal</v>
      </c>
      <c r="B632" s="14" t="s">
        <v>653</v>
      </c>
      <c r="C632" s="15" t="s">
        <v>277</v>
      </c>
      <c r="D632" s="19">
        <f t="shared" si="55"/>
        <v>0</v>
      </c>
      <c r="E632" s="16">
        <f t="shared" si="56"/>
        <v>0</v>
      </c>
      <c r="F632" s="16">
        <f t="shared" si="57"/>
        <v>16</v>
      </c>
      <c r="G632" s="16">
        <f t="shared" si="58"/>
        <v>10.4</v>
      </c>
      <c r="H632" s="24" t="str">
        <f>IFERROR(VLOOKUP(B632,#REF!,8,FALSE),"")</f>
        <v/>
      </c>
      <c r="I632" s="17">
        <v>6000</v>
      </c>
      <c r="J632" s="17">
        <v>3000</v>
      </c>
      <c r="K632" s="24" t="str">
        <f>IFERROR(VLOOKUP(B632,#REF!,11,FALSE),"")</f>
        <v/>
      </c>
      <c r="L632" s="17">
        <v>0</v>
      </c>
      <c r="M632" s="6" t="s">
        <v>748</v>
      </c>
      <c r="N632" s="18" t="str">
        <f>IFERROR(VLOOKUP(B632,#REF!,13,FALSE),"")</f>
        <v/>
      </c>
      <c r="O632" s="19" t="str">
        <f>IFERROR(VLOOKUP(B632,#REF!,14,FALSE),"")</f>
        <v/>
      </c>
      <c r="P632" s="19" t="str">
        <f>IFERROR(VLOOKUP(B632,#REF!,15,FALSE),"")</f>
        <v/>
      </c>
      <c r="Q632" s="19"/>
      <c r="R632" s="25" t="str">
        <f>IFERROR(VLOOKUP(B632,#REF!,16,FALSE),"")</f>
        <v/>
      </c>
      <c r="S632" s="17">
        <v>0</v>
      </c>
      <c r="T632" s="17">
        <v>0</v>
      </c>
      <c r="U632" s="17">
        <v>0</v>
      </c>
      <c r="V632" s="17">
        <v>0</v>
      </c>
      <c r="W632" s="20">
        <v>6000</v>
      </c>
      <c r="X632" s="16">
        <v>16</v>
      </c>
      <c r="Y632" s="21">
        <v>10.4</v>
      </c>
      <c r="Z632" s="20">
        <v>375</v>
      </c>
      <c r="AA632" s="17">
        <v>575</v>
      </c>
      <c r="AB632" s="22">
        <v>1.5</v>
      </c>
      <c r="AC632" s="23">
        <f t="shared" si="59"/>
        <v>100</v>
      </c>
      <c r="AD632" s="17">
        <v>420</v>
      </c>
      <c r="AE632" s="17">
        <v>2902</v>
      </c>
      <c r="AF632" s="17">
        <v>1855</v>
      </c>
      <c r="AG632" s="17">
        <v>2400</v>
      </c>
      <c r="AH632" s="15" t="s">
        <v>42</v>
      </c>
    </row>
    <row r="633" spans="1:34">
      <c r="A633" s="13" t="str">
        <f t="shared" si="54"/>
        <v>Normal</v>
      </c>
      <c r="B633" s="14" t="s">
        <v>654</v>
      </c>
      <c r="C633" s="15" t="s">
        <v>277</v>
      </c>
      <c r="D633" s="19">
        <f t="shared" si="55"/>
        <v>0.7</v>
      </c>
      <c r="E633" s="16">
        <f t="shared" si="56"/>
        <v>1.3</v>
      </c>
      <c r="F633" s="16">
        <f t="shared" si="57"/>
        <v>6.4</v>
      </c>
      <c r="G633" s="16">
        <f t="shared" si="58"/>
        <v>11.3</v>
      </c>
      <c r="H633" s="24" t="str">
        <f>IFERROR(VLOOKUP(B633,#REF!,8,FALSE),"")</f>
        <v/>
      </c>
      <c r="I633" s="17">
        <v>132000</v>
      </c>
      <c r="J633" s="17">
        <v>108000</v>
      </c>
      <c r="K633" s="24" t="str">
        <f>IFERROR(VLOOKUP(B633,#REF!,11,FALSE),"")</f>
        <v/>
      </c>
      <c r="L633" s="17">
        <v>15000</v>
      </c>
      <c r="M633" s="6" t="s">
        <v>752</v>
      </c>
      <c r="N633" s="18" t="str">
        <f>IFERROR(VLOOKUP(B633,#REF!,13,FALSE),"")</f>
        <v/>
      </c>
      <c r="O633" s="19" t="str">
        <f>IFERROR(VLOOKUP(B633,#REF!,14,FALSE),"")</f>
        <v/>
      </c>
      <c r="P633" s="19" t="str">
        <f>IFERROR(VLOOKUP(B633,#REF!,15,FALSE),"")</f>
        <v/>
      </c>
      <c r="Q633" s="19"/>
      <c r="R633" s="25" t="str">
        <f>IFERROR(VLOOKUP(B633,#REF!,16,FALSE),"")</f>
        <v/>
      </c>
      <c r="S633" s="17">
        <v>0</v>
      </c>
      <c r="T633" s="17">
        <v>15000</v>
      </c>
      <c r="U633" s="17">
        <v>0</v>
      </c>
      <c r="V633" s="17">
        <v>0</v>
      </c>
      <c r="W633" s="20">
        <v>147000</v>
      </c>
      <c r="X633" s="16">
        <v>7.1</v>
      </c>
      <c r="Y633" s="21">
        <v>12.6</v>
      </c>
      <c r="Z633" s="20">
        <v>20625</v>
      </c>
      <c r="AA633" s="17">
        <v>11667</v>
      </c>
      <c r="AB633" s="22">
        <v>0.6</v>
      </c>
      <c r="AC633" s="23">
        <f t="shared" si="59"/>
        <v>100</v>
      </c>
      <c r="AD633" s="17">
        <v>84000</v>
      </c>
      <c r="AE633" s="17">
        <v>57000</v>
      </c>
      <c r="AF633" s="17">
        <v>27000</v>
      </c>
      <c r="AG633" s="17">
        <v>0</v>
      </c>
      <c r="AH633" s="15" t="s">
        <v>42</v>
      </c>
    </row>
    <row r="634" spans="1:34">
      <c r="A634" s="13" t="str">
        <f t="shared" si="54"/>
        <v>Normal</v>
      </c>
      <c r="B634" s="14" t="s">
        <v>655</v>
      </c>
      <c r="C634" s="15" t="s">
        <v>277</v>
      </c>
      <c r="D634" s="19">
        <f t="shared" si="55"/>
        <v>0.8</v>
      </c>
      <c r="E634" s="16" t="str">
        <f t="shared" si="56"/>
        <v>--</v>
      </c>
      <c r="F634" s="16">
        <f t="shared" si="57"/>
        <v>2.9</v>
      </c>
      <c r="G634" s="16" t="str">
        <f t="shared" si="58"/>
        <v>--</v>
      </c>
      <c r="H634" s="24" t="str">
        <f>IFERROR(VLOOKUP(B634,#REF!,8,FALSE),"")</f>
        <v/>
      </c>
      <c r="I634" s="17">
        <v>180000</v>
      </c>
      <c r="J634" s="17">
        <v>0</v>
      </c>
      <c r="K634" s="24" t="str">
        <f>IFERROR(VLOOKUP(B634,#REF!,11,FALSE),"")</f>
        <v/>
      </c>
      <c r="L634" s="17">
        <v>48000</v>
      </c>
      <c r="M634" s="6" t="s">
        <v>761</v>
      </c>
      <c r="N634" s="18" t="str">
        <f>IFERROR(VLOOKUP(B634,#REF!,13,FALSE),"")</f>
        <v/>
      </c>
      <c r="O634" s="19" t="str">
        <f>IFERROR(VLOOKUP(B634,#REF!,14,FALSE),"")</f>
        <v/>
      </c>
      <c r="P634" s="19" t="str">
        <f>IFERROR(VLOOKUP(B634,#REF!,15,FALSE),"")</f>
        <v/>
      </c>
      <c r="Q634" s="19"/>
      <c r="R634" s="25" t="str">
        <f>IFERROR(VLOOKUP(B634,#REF!,16,FALSE),"")</f>
        <v/>
      </c>
      <c r="S634" s="17">
        <v>0</v>
      </c>
      <c r="T634" s="17">
        <v>48000</v>
      </c>
      <c r="U634" s="17">
        <v>0</v>
      </c>
      <c r="V634" s="17">
        <v>0</v>
      </c>
      <c r="W634" s="20">
        <v>228000</v>
      </c>
      <c r="X634" s="16">
        <v>3.6</v>
      </c>
      <c r="Y634" s="21" t="s">
        <v>40</v>
      </c>
      <c r="Z634" s="20">
        <v>63000</v>
      </c>
      <c r="AA634" s="17" t="s">
        <v>40</v>
      </c>
      <c r="AB634" s="22" t="s">
        <v>41</v>
      </c>
      <c r="AC634" s="23" t="str">
        <f t="shared" si="59"/>
        <v>E</v>
      </c>
      <c r="AD634" s="17">
        <v>0</v>
      </c>
      <c r="AE634" s="17">
        <v>0</v>
      </c>
      <c r="AF634" s="17">
        <v>0</v>
      </c>
      <c r="AG634" s="17">
        <v>0</v>
      </c>
      <c r="AH634" s="15" t="s">
        <v>42</v>
      </c>
    </row>
    <row r="635" spans="1:34">
      <c r="A635" s="13" t="str">
        <f t="shared" si="54"/>
        <v>Normal</v>
      </c>
      <c r="B635" s="14" t="s">
        <v>657</v>
      </c>
      <c r="C635" s="15" t="s">
        <v>277</v>
      </c>
      <c r="D635" s="19">
        <f t="shared" si="55"/>
        <v>3</v>
      </c>
      <c r="E635" s="16" t="str">
        <f t="shared" si="56"/>
        <v>--</v>
      </c>
      <c r="F635" s="16">
        <f t="shared" si="57"/>
        <v>11.4</v>
      </c>
      <c r="G635" s="16" t="str">
        <f t="shared" si="58"/>
        <v>--</v>
      </c>
      <c r="H635" s="24" t="str">
        <f>IFERROR(VLOOKUP(B635,#REF!,8,FALSE),"")</f>
        <v/>
      </c>
      <c r="I635" s="17">
        <v>90000</v>
      </c>
      <c r="J635" s="17">
        <v>36000</v>
      </c>
      <c r="K635" s="24" t="str">
        <f>IFERROR(VLOOKUP(B635,#REF!,11,FALSE),"")</f>
        <v/>
      </c>
      <c r="L635" s="17">
        <v>24000</v>
      </c>
      <c r="M635" s="6" t="s">
        <v>763</v>
      </c>
      <c r="N635" s="18" t="str">
        <f>IFERROR(VLOOKUP(B635,#REF!,13,FALSE),"")</f>
        <v/>
      </c>
      <c r="O635" s="19" t="str">
        <f>IFERROR(VLOOKUP(B635,#REF!,14,FALSE),"")</f>
        <v/>
      </c>
      <c r="P635" s="19" t="str">
        <f>IFERROR(VLOOKUP(B635,#REF!,15,FALSE),"")</f>
        <v/>
      </c>
      <c r="Q635" s="19"/>
      <c r="R635" s="25" t="str">
        <f>IFERROR(VLOOKUP(B635,#REF!,16,FALSE),"")</f>
        <v/>
      </c>
      <c r="S635" s="17">
        <v>0</v>
      </c>
      <c r="T635" s="17">
        <v>0</v>
      </c>
      <c r="U635" s="17">
        <v>24000</v>
      </c>
      <c r="V635" s="17">
        <v>0</v>
      </c>
      <c r="W635" s="20">
        <v>114000</v>
      </c>
      <c r="X635" s="16">
        <v>14.5</v>
      </c>
      <c r="Y635" s="21" t="s">
        <v>40</v>
      </c>
      <c r="Z635" s="20">
        <v>7875</v>
      </c>
      <c r="AA635" s="17" t="s">
        <v>40</v>
      </c>
      <c r="AB635" s="22" t="s">
        <v>41</v>
      </c>
      <c r="AC635" s="23" t="str">
        <f t="shared" si="59"/>
        <v>E</v>
      </c>
      <c r="AD635" s="17">
        <v>0</v>
      </c>
      <c r="AE635" s="17">
        <v>0</v>
      </c>
      <c r="AF635" s="17">
        <v>0</v>
      </c>
      <c r="AG635" s="17">
        <v>0</v>
      </c>
      <c r="AH635" s="15" t="s">
        <v>42</v>
      </c>
    </row>
    <row r="636" spans="1:34">
      <c r="A636" s="13" t="str">
        <f t="shared" si="54"/>
        <v>Normal</v>
      </c>
      <c r="B636" s="14" t="s">
        <v>658</v>
      </c>
      <c r="C636" s="15" t="s">
        <v>277</v>
      </c>
      <c r="D636" s="19">
        <f t="shared" si="55"/>
        <v>0</v>
      </c>
      <c r="E636" s="16" t="str">
        <f t="shared" si="56"/>
        <v>--</v>
      </c>
      <c r="F636" s="16">
        <f t="shared" si="57"/>
        <v>0</v>
      </c>
      <c r="G636" s="16" t="str">
        <f t="shared" si="58"/>
        <v>--</v>
      </c>
      <c r="H636" s="24" t="str">
        <f>IFERROR(VLOOKUP(B636,#REF!,8,FALSE),"")</f>
        <v/>
      </c>
      <c r="I636" s="17">
        <v>0</v>
      </c>
      <c r="J636" s="17">
        <v>0</v>
      </c>
      <c r="K636" s="24" t="str">
        <f>IFERROR(VLOOKUP(B636,#REF!,11,FALSE),"")</f>
        <v/>
      </c>
      <c r="L636" s="17">
        <v>0</v>
      </c>
      <c r="M636" s="6" t="s">
        <v>752</v>
      </c>
      <c r="N636" s="18" t="str">
        <f>IFERROR(VLOOKUP(B636,#REF!,13,FALSE),"")</f>
        <v/>
      </c>
      <c r="O636" s="19" t="str">
        <f>IFERROR(VLOOKUP(B636,#REF!,14,FALSE),"")</f>
        <v/>
      </c>
      <c r="P636" s="19" t="str">
        <f>IFERROR(VLOOKUP(B636,#REF!,15,FALSE),"")</f>
        <v/>
      </c>
      <c r="Q636" s="19"/>
      <c r="R636" s="25" t="str">
        <f>IFERROR(VLOOKUP(B636,#REF!,16,FALSE),"")</f>
        <v/>
      </c>
      <c r="S636" s="17">
        <v>0</v>
      </c>
      <c r="T636" s="17">
        <v>0</v>
      </c>
      <c r="U636" s="17">
        <v>0</v>
      </c>
      <c r="V636" s="17">
        <v>0</v>
      </c>
      <c r="W636" s="20">
        <v>0</v>
      </c>
      <c r="X636" s="16">
        <v>0</v>
      </c>
      <c r="Y636" s="21" t="s">
        <v>40</v>
      </c>
      <c r="Z636" s="20">
        <v>625</v>
      </c>
      <c r="AA636" s="17" t="s">
        <v>40</v>
      </c>
      <c r="AB636" s="22" t="s">
        <v>41</v>
      </c>
      <c r="AC636" s="23" t="str">
        <f t="shared" si="59"/>
        <v>E</v>
      </c>
      <c r="AD636" s="17">
        <v>0</v>
      </c>
      <c r="AE636" s="17">
        <v>0</v>
      </c>
      <c r="AF636" s="17">
        <v>0</v>
      </c>
      <c r="AG636" s="17">
        <v>0</v>
      </c>
      <c r="AH636" s="15" t="s">
        <v>42</v>
      </c>
    </row>
    <row r="637" spans="1:34">
      <c r="A637" s="13" t="str">
        <f t="shared" si="54"/>
        <v>Normal</v>
      </c>
      <c r="B637" s="14" t="s">
        <v>659</v>
      </c>
      <c r="C637" s="15" t="s">
        <v>277</v>
      </c>
      <c r="D637" s="19">
        <f t="shared" si="55"/>
        <v>0</v>
      </c>
      <c r="E637" s="16">
        <f t="shared" si="56"/>
        <v>0</v>
      </c>
      <c r="F637" s="16">
        <f t="shared" si="57"/>
        <v>16</v>
      </c>
      <c r="G637" s="16">
        <f t="shared" si="58"/>
        <v>8</v>
      </c>
      <c r="H637" s="24" t="str">
        <f>IFERROR(VLOOKUP(B637,#REF!,8,FALSE),"")</f>
        <v/>
      </c>
      <c r="I637" s="17">
        <v>24000</v>
      </c>
      <c r="J637" s="17">
        <v>24000</v>
      </c>
      <c r="K637" s="24" t="str">
        <f>IFERROR(VLOOKUP(B637,#REF!,11,FALSE),"")</f>
        <v/>
      </c>
      <c r="L637" s="17">
        <v>0</v>
      </c>
      <c r="M637" s="6" t="s">
        <v>748</v>
      </c>
      <c r="N637" s="18" t="str">
        <f>IFERROR(VLOOKUP(B637,#REF!,13,FALSE),"")</f>
        <v/>
      </c>
      <c r="O637" s="19" t="str">
        <f>IFERROR(VLOOKUP(B637,#REF!,14,FALSE),"")</f>
        <v/>
      </c>
      <c r="P637" s="19" t="str">
        <f>IFERROR(VLOOKUP(B637,#REF!,15,FALSE),"")</f>
        <v/>
      </c>
      <c r="Q637" s="19"/>
      <c r="R637" s="25" t="str">
        <f>IFERROR(VLOOKUP(B637,#REF!,16,FALSE),"")</f>
        <v/>
      </c>
      <c r="S637" s="17">
        <v>0</v>
      </c>
      <c r="T637" s="17">
        <v>0</v>
      </c>
      <c r="U637" s="17">
        <v>0</v>
      </c>
      <c r="V637" s="17">
        <v>0</v>
      </c>
      <c r="W637" s="20">
        <v>24000</v>
      </c>
      <c r="X637" s="16">
        <v>16</v>
      </c>
      <c r="Y637" s="21">
        <v>8</v>
      </c>
      <c r="Z637" s="20">
        <v>1500</v>
      </c>
      <c r="AA637" s="17">
        <v>3000</v>
      </c>
      <c r="AB637" s="22">
        <v>2</v>
      </c>
      <c r="AC637" s="23">
        <f t="shared" si="59"/>
        <v>150</v>
      </c>
      <c r="AD637" s="17">
        <v>0</v>
      </c>
      <c r="AE637" s="17">
        <v>3000</v>
      </c>
      <c r="AF637" s="17">
        <v>24000</v>
      </c>
      <c r="AG637" s="17">
        <v>0</v>
      </c>
      <c r="AH637" s="15" t="s">
        <v>42</v>
      </c>
    </row>
    <row r="638" spans="1:34">
      <c r="A638" s="13" t="str">
        <f t="shared" si="54"/>
        <v>Normal</v>
      </c>
      <c r="B638" s="14" t="s">
        <v>661</v>
      </c>
      <c r="C638" s="15" t="s">
        <v>277</v>
      </c>
      <c r="D638" s="19">
        <f t="shared" si="55"/>
        <v>6.4</v>
      </c>
      <c r="E638" s="16" t="str">
        <f t="shared" si="56"/>
        <v>--</v>
      </c>
      <c r="F638" s="16">
        <f t="shared" si="57"/>
        <v>0</v>
      </c>
      <c r="G638" s="16" t="str">
        <f t="shared" si="58"/>
        <v>--</v>
      </c>
      <c r="H638" s="24" t="str">
        <f>IFERROR(VLOOKUP(B638,#REF!,8,FALSE),"")</f>
        <v/>
      </c>
      <c r="I638" s="17">
        <v>0</v>
      </c>
      <c r="J638" s="17">
        <v>0</v>
      </c>
      <c r="K638" s="24" t="str">
        <f>IFERROR(VLOOKUP(B638,#REF!,11,FALSE),"")</f>
        <v/>
      </c>
      <c r="L638" s="17">
        <v>2000</v>
      </c>
      <c r="M638" s="6" t="s">
        <v>751</v>
      </c>
      <c r="N638" s="18" t="str">
        <f>IFERROR(VLOOKUP(B638,#REF!,13,FALSE),"")</f>
        <v/>
      </c>
      <c r="O638" s="19" t="str">
        <f>IFERROR(VLOOKUP(B638,#REF!,14,FALSE),"")</f>
        <v/>
      </c>
      <c r="P638" s="19" t="str">
        <f>IFERROR(VLOOKUP(B638,#REF!,15,FALSE),"")</f>
        <v/>
      </c>
      <c r="Q638" s="19"/>
      <c r="R638" s="25" t="str">
        <f>IFERROR(VLOOKUP(B638,#REF!,16,FALSE),"")</f>
        <v/>
      </c>
      <c r="S638" s="17">
        <v>0</v>
      </c>
      <c r="T638" s="17">
        <v>2000</v>
      </c>
      <c r="U638" s="17">
        <v>0</v>
      </c>
      <c r="V638" s="17">
        <v>0</v>
      </c>
      <c r="W638" s="20">
        <v>2000</v>
      </c>
      <c r="X638" s="16">
        <v>6.4</v>
      </c>
      <c r="Y638" s="21" t="s">
        <v>40</v>
      </c>
      <c r="Z638" s="20">
        <v>313</v>
      </c>
      <c r="AA638" s="17">
        <v>0</v>
      </c>
      <c r="AB638" s="22" t="s">
        <v>41</v>
      </c>
      <c r="AC638" s="23" t="str">
        <f t="shared" si="59"/>
        <v>E</v>
      </c>
      <c r="AD638" s="17">
        <v>0</v>
      </c>
      <c r="AE638" s="17">
        <v>0</v>
      </c>
      <c r="AF638" s="17">
        <v>0</v>
      </c>
      <c r="AG638" s="17">
        <v>0</v>
      </c>
      <c r="AH638" s="15" t="s">
        <v>42</v>
      </c>
    </row>
    <row r="639" spans="1:34">
      <c r="A639" s="13" t="str">
        <f t="shared" si="54"/>
        <v>Normal</v>
      </c>
      <c r="B639" s="14" t="s">
        <v>662</v>
      </c>
      <c r="C639" s="15" t="s">
        <v>277</v>
      </c>
      <c r="D639" s="19">
        <f t="shared" si="55"/>
        <v>2.7</v>
      </c>
      <c r="E639" s="16" t="str">
        <f t="shared" si="56"/>
        <v>--</v>
      </c>
      <c r="F639" s="16">
        <f t="shared" si="57"/>
        <v>4</v>
      </c>
      <c r="G639" s="16" t="str">
        <f t="shared" si="58"/>
        <v>--</v>
      </c>
      <c r="H639" s="24" t="str">
        <f>IFERROR(VLOOKUP(B639,#REF!,8,FALSE),"")</f>
        <v/>
      </c>
      <c r="I639" s="17">
        <v>9000</v>
      </c>
      <c r="J639" s="17">
        <v>0</v>
      </c>
      <c r="K639" s="24" t="str">
        <f>IFERROR(VLOOKUP(B639,#REF!,11,FALSE),"")</f>
        <v/>
      </c>
      <c r="L639" s="17">
        <v>6000</v>
      </c>
      <c r="M639" s="6" t="s">
        <v>766</v>
      </c>
      <c r="N639" s="18" t="str">
        <f>IFERROR(VLOOKUP(B639,#REF!,13,FALSE),"")</f>
        <v/>
      </c>
      <c r="O639" s="19" t="str">
        <f>IFERROR(VLOOKUP(B639,#REF!,14,FALSE),"")</f>
        <v/>
      </c>
      <c r="P639" s="19" t="str">
        <f>IFERROR(VLOOKUP(B639,#REF!,15,FALSE),"")</f>
        <v/>
      </c>
      <c r="Q639" s="19"/>
      <c r="R639" s="25" t="str">
        <f>IFERROR(VLOOKUP(B639,#REF!,16,FALSE),"")</f>
        <v/>
      </c>
      <c r="S639" s="17">
        <v>0</v>
      </c>
      <c r="T639" s="17">
        <v>6000</v>
      </c>
      <c r="U639" s="17">
        <v>0</v>
      </c>
      <c r="V639" s="17">
        <v>0</v>
      </c>
      <c r="W639" s="20">
        <v>15000</v>
      </c>
      <c r="X639" s="16">
        <v>6.7</v>
      </c>
      <c r="Y639" s="21" t="s">
        <v>40</v>
      </c>
      <c r="Z639" s="20">
        <v>2250</v>
      </c>
      <c r="AA639" s="17" t="s">
        <v>40</v>
      </c>
      <c r="AB639" s="22" t="s">
        <v>41</v>
      </c>
      <c r="AC639" s="23" t="str">
        <f t="shared" si="59"/>
        <v>E</v>
      </c>
      <c r="AD639" s="17">
        <v>0</v>
      </c>
      <c r="AE639" s="17">
        <v>0</v>
      </c>
      <c r="AF639" s="17">
        <v>0</v>
      </c>
      <c r="AG639" s="17">
        <v>0</v>
      </c>
      <c r="AH639" s="15" t="s">
        <v>42</v>
      </c>
    </row>
    <row r="640" spans="1:34">
      <c r="A640" s="13" t="str">
        <f t="shared" si="54"/>
        <v>Normal</v>
      </c>
      <c r="B640" s="14" t="s">
        <v>663</v>
      </c>
      <c r="C640" s="15" t="s">
        <v>277</v>
      </c>
      <c r="D640" s="19">
        <f t="shared" si="55"/>
        <v>3</v>
      </c>
      <c r="E640" s="16">
        <f t="shared" si="56"/>
        <v>7.9</v>
      </c>
      <c r="F640" s="16">
        <f t="shared" si="57"/>
        <v>1</v>
      </c>
      <c r="G640" s="16">
        <f t="shared" si="58"/>
        <v>2.6</v>
      </c>
      <c r="H640" s="24" t="str">
        <f>IFERROR(VLOOKUP(B640,#REF!,8,FALSE),"")</f>
        <v/>
      </c>
      <c r="I640" s="17">
        <v>195000</v>
      </c>
      <c r="J640" s="17">
        <v>195000</v>
      </c>
      <c r="K640" s="24" t="str">
        <f>IFERROR(VLOOKUP(B640,#REF!,11,FALSE),"")</f>
        <v/>
      </c>
      <c r="L640" s="17">
        <v>585000</v>
      </c>
      <c r="M640" s="6" t="s">
        <v>752</v>
      </c>
      <c r="N640" s="18" t="str">
        <f>IFERROR(VLOOKUP(B640,#REF!,13,FALSE),"")</f>
        <v/>
      </c>
      <c r="O640" s="19" t="str">
        <f>IFERROR(VLOOKUP(B640,#REF!,14,FALSE),"")</f>
        <v/>
      </c>
      <c r="P640" s="19" t="str">
        <f>IFERROR(VLOOKUP(B640,#REF!,15,FALSE),"")</f>
        <v/>
      </c>
      <c r="Q640" s="19"/>
      <c r="R640" s="25" t="str">
        <f>IFERROR(VLOOKUP(B640,#REF!,16,FALSE),"")</f>
        <v/>
      </c>
      <c r="S640" s="17">
        <v>0</v>
      </c>
      <c r="T640" s="17">
        <v>585000</v>
      </c>
      <c r="U640" s="17">
        <v>0</v>
      </c>
      <c r="V640" s="17">
        <v>0</v>
      </c>
      <c r="W640" s="20">
        <v>780000</v>
      </c>
      <c r="X640" s="16">
        <v>4</v>
      </c>
      <c r="Y640" s="21">
        <v>10.6</v>
      </c>
      <c r="Z640" s="20">
        <v>192750</v>
      </c>
      <c r="AA640" s="17">
        <v>73589</v>
      </c>
      <c r="AB640" s="22">
        <v>0.4</v>
      </c>
      <c r="AC640" s="23">
        <f t="shared" si="59"/>
        <v>50</v>
      </c>
      <c r="AD640" s="17">
        <v>359986</v>
      </c>
      <c r="AE640" s="17">
        <v>344000</v>
      </c>
      <c r="AF640" s="17">
        <v>244667</v>
      </c>
      <c r="AG640" s="17">
        <v>291000</v>
      </c>
      <c r="AH640" s="15" t="s">
        <v>42</v>
      </c>
    </row>
    <row r="641" spans="1:34">
      <c r="A641" s="13" t="str">
        <f t="shared" si="54"/>
        <v>Normal</v>
      </c>
      <c r="B641" s="14" t="s">
        <v>664</v>
      </c>
      <c r="C641" s="15" t="s">
        <v>277</v>
      </c>
      <c r="D641" s="19">
        <f t="shared" si="55"/>
        <v>0</v>
      </c>
      <c r="E641" s="16">
        <f t="shared" si="56"/>
        <v>0</v>
      </c>
      <c r="F641" s="16">
        <f t="shared" si="57"/>
        <v>4</v>
      </c>
      <c r="G641" s="16">
        <f t="shared" si="58"/>
        <v>9</v>
      </c>
      <c r="H641" s="24" t="str">
        <f>IFERROR(VLOOKUP(B641,#REF!,8,FALSE),"")</f>
        <v/>
      </c>
      <c r="I641" s="17">
        <v>12000</v>
      </c>
      <c r="J641" s="17">
        <v>12000</v>
      </c>
      <c r="K641" s="24" t="str">
        <f>IFERROR(VLOOKUP(B641,#REF!,11,FALSE),"")</f>
        <v/>
      </c>
      <c r="L641" s="17">
        <v>0</v>
      </c>
      <c r="M641" s="6" t="s">
        <v>751</v>
      </c>
      <c r="N641" s="18" t="str">
        <f>IFERROR(VLOOKUP(B641,#REF!,13,FALSE),"")</f>
        <v/>
      </c>
      <c r="O641" s="19" t="str">
        <f>IFERROR(VLOOKUP(B641,#REF!,14,FALSE),"")</f>
        <v/>
      </c>
      <c r="P641" s="19" t="str">
        <f>IFERROR(VLOOKUP(B641,#REF!,15,FALSE),"")</f>
        <v/>
      </c>
      <c r="Q641" s="19"/>
      <c r="R641" s="25" t="str">
        <f>IFERROR(VLOOKUP(B641,#REF!,16,FALSE),"")</f>
        <v/>
      </c>
      <c r="S641" s="17">
        <v>0</v>
      </c>
      <c r="T641" s="17">
        <v>0</v>
      </c>
      <c r="U641" s="17">
        <v>0</v>
      </c>
      <c r="V641" s="17">
        <v>0</v>
      </c>
      <c r="W641" s="20">
        <v>12000</v>
      </c>
      <c r="X641" s="16">
        <v>4</v>
      </c>
      <c r="Y641" s="21">
        <v>9</v>
      </c>
      <c r="Z641" s="20">
        <v>3000</v>
      </c>
      <c r="AA641" s="17">
        <v>1333</v>
      </c>
      <c r="AB641" s="22">
        <v>0.4</v>
      </c>
      <c r="AC641" s="23">
        <f t="shared" si="59"/>
        <v>50</v>
      </c>
      <c r="AD641" s="17">
        <v>0</v>
      </c>
      <c r="AE641" s="17">
        <v>12000</v>
      </c>
      <c r="AF641" s="17">
        <v>0</v>
      </c>
      <c r="AG641" s="17">
        <v>0</v>
      </c>
      <c r="AH641" s="15" t="s">
        <v>42</v>
      </c>
    </row>
    <row r="642" spans="1:34">
      <c r="A642" s="13" t="str">
        <f t="shared" si="54"/>
        <v>Normal</v>
      </c>
      <c r="B642" s="14" t="s">
        <v>665</v>
      </c>
      <c r="C642" s="15" t="s">
        <v>277</v>
      </c>
      <c r="D642" s="19">
        <f t="shared" si="55"/>
        <v>8</v>
      </c>
      <c r="E642" s="16">
        <f t="shared" si="56"/>
        <v>3</v>
      </c>
      <c r="F642" s="16">
        <f t="shared" si="57"/>
        <v>2.7</v>
      </c>
      <c r="G642" s="16">
        <f t="shared" si="58"/>
        <v>1</v>
      </c>
      <c r="H642" s="24" t="str">
        <f>IFERROR(VLOOKUP(B642,#REF!,8,FALSE),"")</f>
        <v/>
      </c>
      <c r="I642" s="17">
        <v>500</v>
      </c>
      <c r="J642" s="17">
        <v>500</v>
      </c>
      <c r="K642" s="24" t="str">
        <f>IFERROR(VLOOKUP(B642,#REF!,11,FALSE),"")</f>
        <v/>
      </c>
      <c r="L642" s="17">
        <v>1500</v>
      </c>
      <c r="M642" s="6" t="s">
        <v>758</v>
      </c>
      <c r="N642" s="18" t="str">
        <f>IFERROR(VLOOKUP(B642,#REF!,13,FALSE),"")</f>
        <v/>
      </c>
      <c r="O642" s="19" t="str">
        <f>IFERROR(VLOOKUP(B642,#REF!,14,FALSE),"")</f>
        <v/>
      </c>
      <c r="P642" s="19" t="str">
        <f>IFERROR(VLOOKUP(B642,#REF!,15,FALSE),"")</f>
        <v/>
      </c>
      <c r="Q642" s="19"/>
      <c r="R642" s="25" t="str">
        <f>IFERROR(VLOOKUP(B642,#REF!,16,FALSE),"")</f>
        <v/>
      </c>
      <c r="S642" s="17">
        <v>0</v>
      </c>
      <c r="T642" s="17">
        <v>1500</v>
      </c>
      <c r="U642" s="17">
        <v>0</v>
      </c>
      <c r="V642" s="17">
        <v>0</v>
      </c>
      <c r="W642" s="20">
        <v>2000</v>
      </c>
      <c r="X642" s="16">
        <v>10.6</v>
      </c>
      <c r="Y642" s="21">
        <v>4</v>
      </c>
      <c r="Z642" s="20">
        <v>188</v>
      </c>
      <c r="AA642" s="17">
        <v>500</v>
      </c>
      <c r="AB642" s="22">
        <v>2.7</v>
      </c>
      <c r="AC642" s="23">
        <f t="shared" si="59"/>
        <v>150</v>
      </c>
      <c r="AD642" s="17">
        <v>1500</v>
      </c>
      <c r="AE642" s="17">
        <v>1500</v>
      </c>
      <c r="AF642" s="17">
        <v>1500</v>
      </c>
      <c r="AG642" s="17">
        <v>0</v>
      </c>
      <c r="AH642" s="15" t="s">
        <v>42</v>
      </c>
    </row>
    <row r="643" spans="1:34">
      <c r="A643" s="13" t="str">
        <f t="shared" si="54"/>
        <v>OverStock</v>
      </c>
      <c r="B643" s="14" t="s">
        <v>666</v>
      </c>
      <c r="C643" s="15" t="s">
        <v>277</v>
      </c>
      <c r="D643" s="19">
        <f t="shared" si="55"/>
        <v>11.6</v>
      </c>
      <c r="E643" s="16">
        <f t="shared" si="56"/>
        <v>10.7</v>
      </c>
      <c r="F643" s="16">
        <f t="shared" si="57"/>
        <v>6.2</v>
      </c>
      <c r="G643" s="16">
        <f t="shared" si="58"/>
        <v>5.7</v>
      </c>
      <c r="H643" s="24" t="str">
        <f>IFERROR(VLOOKUP(B643,#REF!,8,FALSE),"")</f>
        <v/>
      </c>
      <c r="I643" s="17">
        <v>8500</v>
      </c>
      <c r="J643" s="17">
        <v>8500</v>
      </c>
      <c r="K643" s="24" t="str">
        <f>IFERROR(VLOOKUP(B643,#REF!,11,FALSE),"")</f>
        <v/>
      </c>
      <c r="L643" s="17">
        <v>16000</v>
      </c>
      <c r="M643" s="6" t="s">
        <v>758</v>
      </c>
      <c r="N643" s="18" t="str">
        <f>IFERROR(VLOOKUP(B643,#REF!,13,FALSE),"")</f>
        <v/>
      </c>
      <c r="O643" s="19" t="str">
        <f>IFERROR(VLOOKUP(B643,#REF!,14,FALSE),"")</f>
        <v/>
      </c>
      <c r="P643" s="19" t="str">
        <f>IFERROR(VLOOKUP(B643,#REF!,15,FALSE),"")</f>
        <v/>
      </c>
      <c r="Q643" s="19"/>
      <c r="R643" s="25" t="str">
        <f>IFERROR(VLOOKUP(B643,#REF!,16,FALSE),"")</f>
        <v/>
      </c>
      <c r="S643" s="17">
        <v>0</v>
      </c>
      <c r="T643" s="17">
        <v>16000</v>
      </c>
      <c r="U643" s="17">
        <v>0</v>
      </c>
      <c r="V643" s="17">
        <v>0</v>
      </c>
      <c r="W643" s="20">
        <v>24500</v>
      </c>
      <c r="X643" s="16">
        <v>17.8</v>
      </c>
      <c r="Y643" s="21">
        <v>16.3</v>
      </c>
      <c r="Z643" s="20">
        <v>1375</v>
      </c>
      <c r="AA643" s="17">
        <v>1500</v>
      </c>
      <c r="AB643" s="22">
        <v>1.1000000000000001</v>
      </c>
      <c r="AC643" s="23">
        <f t="shared" si="59"/>
        <v>100</v>
      </c>
      <c r="AD643" s="17">
        <v>7500</v>
      </c>
      <c r="AE643" s="17">
        <v>0</v>
      </c>
      <c r="AF643" s="17">
        <v>6000</v>
      </c>
      <c r="AG643" s="17">
        <v>1500</v>
      </c>
      <c r="AH643" s="15" t="s">
        <v>42</v>
      </c>
    </row>
    <row r="644" spans="1:34">
      <c r="A644" s="13" t="str">
        <f t="shared" ref="A644:A695" si="60">IF(OR(Z644=0,LEN(Z644)=0)*OR(AA644=0,LEN(AA644)=0),IF(W644&gt;0,"ZeroZero","None"),IF(IF(LEN(X644)=0,0,X644)&gt;16,"OverStock",IF(Z644=0,"FCST","Normal")))</f>
        <v>None</v>
      </c>
      <c r="B644" s="14" t="s">
        <v>667</v>
      </c>
      <c r="C644" s="15" t="s">
        <v>277</v>
      </c>
      <c r="D644" s="19" t="str">
        <f t="shared" ref="D644:D695" si="61">IF(Z644=0,"前八週無拉料",ROUND(L644/Z644,1))</f>
        <v>前八週無拉料</v>
      </c>
      <c r="E644" s="16" t="str">
        <f t="shared" ref="E644:E695" si="62">IF(OR(AA644=0,LEN(AA644)=0),"--",ROUND(L644/AA644,1))</f>
        <v>--</v>
      </c>
      <c r="F644" s="16" t="str">
        <f t="shared" ref="F644:F695" si="63">IF(Z644=0,"--",ROUND(I644/Z644,1))</f>
        <v>--</v>
      </c>
      <c r="G644" s="16" t="str">
        <f t="shared" ref="G644:G695" si="64">IF(OR(AA644=0,LEN(AA644)=0),"--",ROUND(I644/AA644,1))</f>
        <v>--</v>
      </c>
      <c r="H644" s="24" t="str">
        <f>IFERROR(VLOOKUP(B644,#REF!,8,FALSE),"")</f>
        <v/>
      </c>
      <c r="I644" s="17">
        <v>0</v>
      </c>
      <c r="J644" s="17">
        <v>0</v>
      </c>
      <c r="K644" s="24" t="str">
        <f>IFERROR(VLOOKUP(B644,#REF!,11,FALSE),"")</f>
        <v/>
      </c>
      <c r="L644" s="17">
        <v>0</v>
      </c>
      <c r="M644" s="6" t="s">
        <v>748</v>
      </c>
      <c r="N644" s="18" t="str">
        <f>IFERROR(VLOOKUP(B644,#REF!,13,FALSE),"")</f>
        <v/>
      </c>
      <c r="O644" s="19" t="str">
        <f>IFERROR(VLOOKUP(B644,#REF!,14,FALSE),"")</f>
        <v/>
      </c>
      <c r="P644" s="19" t="str">
        <f>IFERROR(VLOOKUP(B644,#REF!,15,FALSE),"")</f>
        <v/>
      </c>
      <c r="Q644" s="19"/>
      <c r="R644" s="25" t="str">
        <f>IFERROR(VLOOKUP(B644,#REF!,16,FALSE),"")</f>
        <v/>
      </c>
      <c r="S644" s="17">
        <v>0</v>
      </c>
      <c r="T644" s="17">
        <v>0</v>
      </c>
      <c r="U644" s="17">
        <v>0</v>
      </c>
      <c r="V644" s="17">
        <v>0</v>
      </c>
      <c r="W644" s="20">
        <v>0</v>
      </c>
      <c r="X644" s="16" t="s">
        <v>40</v>
      </c>
      <c r="Y644" s="21" t="s">
        <v>40</v>
      </c>
      <c r="Z644" s="20">
        <v>0</v>
      </c>
      <c r="AA644" s="17" t="s">
        <v>40</v>
      </c>
      <c r="AB644" s="22" t="s">
        <v>41</v>
      </c>
      <c r="AC644" s="23" t="str">
        <f t="shared" ref="AC644:AC695" si="65">IF($AB644="E","E",IF($AB644="F","F",IF($AB644&lt;0.5,50,IF($AB644&lt;2,100,150))))</f>
        <v>E</v>
      </c>
      <c r="AD644" s="17">
        <v>0</v>
      </c>
      <c r="AE644" s="17">
        <v>0</v>
      </c>
      <c r="AF644" s="17">
        <v>0</v>
      </c>
      <c r="AG644" s="17">
        <v>0</v>
      </c>
      <c r="AH644" s="15" t="s">
        <v>42</v>
      </c>
    </row>
    <row r="645" spans="1:34">
      <c r="A645" s="13" t="str">
        <f t="shared" si="60"/>
        <v>Normal</v>
      </c>
      <c r="B645" s="14" t="s">
        <v>668</v>
      </c>
      <c r="C645" s="15" t="s">
        <v>277</v>
      </c>
      <c r="D645" s="19">
        <f t="shared" si="61"/>
        <v>14.2</v>
      </c>
      <c r="E645" s="16">
        <f t="shared" si="62"/>
        <v>28.8</v>
      </c>
      <c r="F645" s="16">
        <f t="shared" si="63"/>
        <v>0.9</v>
      </c>
      <c r="G645" s="16">
        <f t="shared" si="64"/>
        <v>1.8</v>
      </c>
      <c r="H645" s="24" t="str">
        <f>IFERROR(VLOOKUP(B645,#REF!,8,FALSE),"")</f>
        <v/>
      </c>
      <c r="I645" s="17">
        <v>3000</v>
      </c>
      <c r="J645" s="17">
        <v>3000</v>
      </c>
      <c r="K645" s="24" t="str">
        <f>IFERROR(VLOOKUP(B645,#REF!,11,FALSE),"")</f>
        <v/>
      </c>
      <c r="L645" s="17">
        <v>48000</v>
      </c>
      <c r="M645" s="6" t="s">
        <v>753</v>
      </c>
      <c r="N645" s="18" t="str">
        <f>IFERROR(VLOOKUP(B645,#REF!,13,FALSE),"")</f>
        <v/>
      </c>
      <c r="O645" s="19" t="str">
        <f>IFERROR(VLOOKUP(B645,#REF!,14,FALSE),"")</f>
        <v/>
      </c>
      <c r="P645" s="19" t="str">
        <f>IFERROR(VLOOKUP(B645,#REF!,15,FALSE),"")</f>
        <v/>
      </c>
      <c r="Q645" s="19"/>
      <c r="R645" s="25" t="str">
        <f>IFERROR(VLOOKUP(B645,#REF!,16,FALSE),"")</f>
        <v/>
      </c>
      <c r="S645" s="17">
        <v>0</v>
      </c>
      <c r="T645" s="17">
        <v>48000</v>
      </c>
      <c r="U645" s="17">
        <v>0</v>
      </c>
      <c r="V645" s="17">
        <v>0</v>
      </c>
      <c r="W645" s="20">
        <v>51000</v>
      </c>
      <c r="X645" s="16">
        <v>15.1</v>
      </c>
      <c r="Y645" s="21">
        <v>30.6</v>
      </c>
      <c r="Z645" s="20">
        <v>3375</v>
      </c>
      <c r="AA645" s="17">
        <v>1667</v>
      </c>
      <c r="AB645" s="22">
        <v>0.5</v>
      </c>
      <c r="AC645" s="23">
        <f t="shared" si="65"/>
        <v>100</v>
      </c>
      <c r="AD645" s="17">
        <v>0</v>
      </c>
      <c r="AE645" s="17">
        <v>9000</v>
      </c>
      <c r="AF645" s="17">
        <v>6000</v>
      </c>
      <c r="AG645" s="17">
        <v>9000</v>
      </c>
      <c r="AH645" s="15" t="s">
        <v>42</v>
      </c>
    </row>
    <row r="646" spans="1:34">
      <c r="A646" s="13" t="str">
        <f t="shared" si="60"/>
        <v>Normal</v>
      </c>
      <c r="B646" s="14" t="s">
        <v>670</v>
      </c>
      <c r="C646" s="15" t="s">
        <v>277</v>
      </c>
      <c r="D646" s="19">
        <f t="shared" si="61"/>
        <v>0</v>
      </c>
      <c r="E646" s="16">
        <f t="shared" si="62"/>
        <v>0</v>
      </c>
      <c r="F646" s="16">
        <f t="shared" si="63"/>
        <v>13.3</v>
      </c>
      <c r="G646" s="16">
        <f t="shared" si="64"/>
        <v>60</v>
      </c>
      <c r="H646" s="24" t="str">
        <f>IFERROR(VLOOKUP(B646,#REF!,8,FALSE),"")</f>
        <v/>
      </c>
      <c r="I646" s="17">
        <v>60000</v>
      </c>
      <c r="J646" s="17">
        <v>33000</v>
      </c>
      <c r="K646" s="24" t="str">
        <f>IFERROR(VLOOKUP(B646,#REF!,11,FALSE),"")</f>
        <v/>
      </c>
      <c r="L646" s="17">
        <v>0</v>
      </c>
      <c r="M646" s="6" t="s">
        <v>758</v>
      </c>
      <c r="N646" s="18" t="str">
        <f>IFERROR(VLOOKUP(B646,#REF!,13,FALSE),"")</f>
        <v/>
      </c>
      <c r="O646" s="19" t="str">
        <f>IFERROR(VLOOKUP(B646,#REF!,14,FALSE),"")</f>
        <v/>
      </c>
      <c r="P646" s="19" t="str">
        <f>IFERROR(VLOOKUP(B646,#REF!,15,FALSE),"")</f>
        <v/>
      </c>
      <c r="Q646" s="19"/>
      <c r="R646" s="25" t="str">
        <f>IFERROR(VLOOKUP(B646,#REF!,16,FALSE),"")</f>
        <v/>
      </c>
      <c r="S646" s="17">
        <v>0</v>
      </c>
      <c r="T646" s="17">
        <v>0</v>
      </c>
      <c r="U646" s="17">
        <v>0</v>
      </c>
      <c r="V646" s="17">
        <v>0</v>
      </c>
      <c r="W646" s="20">
        <v>60000</v>
      </c>
      <c r="X646" s="16">
        <v>13.3</v>
      </c>
      <c r="Y646" s="21">
        <v>60</v>
      </c>
      <c r="Z646" s="20">
        <v>4500</v>
      </c>
      <c r="AA646" s="17">
        <v>1000</v>
      </c>
      <c r="AB646" s="22">
        <v>0.2</v>
      </c>
      <c r="AC646" s="23">
        <f t="shared" si="65"/>
        <v>50</v>
      </c>
      <c r="AD646" s="17">
        <v>0</v>
      </c>
      <c r="AE646" s="17">
        <v>9000</v>
      </c>
      <c r="AF646" s="17">
        <v>0</v>
      </c>
      <c r="AG646" s="17">
        <v>15000</v>
      </c>
      <c r="AH646" s="15" t="s">
        <v>42</v>
      </c>
    </row>
    <row r="647" spans="1:34">
      <c r="A647" s="13" t="str">
        <f t="shared" si="60"/>
        <v>OverStock</v>
      </c>
      <c r="B647" s="14" t="s">
        <v>671</v>
      </c>
      <c r="C647" s="15" t="s">
        <v>277</v>
      </c>
      <c r="D647" s="19">
        <f t="shared" si="61"/>
        <v>4.5</v>
      </c>
      <c r="E647" s="16">
        <f t="shared" si="62"/>
        <v>87.4</v>
      </c>
      <c r="F647" s="16">
        <f t="shared" si="63"/>
        <v>14.7</v>
      </c>
      <c r="G647" s="16">
        <f t="shared" si="64"/>
        <v>288.60000000000002</v>
      </c>
      <c r="H647" s="24" t="str">
        <f>IFERROR(VLOOKUP(B647,#REF!,8,FALSE),"")</f>
        <v/>
      </c>
      <c r="I647" s="17">
        <v>1347000</v>
      </c>
      <c r="J647" s="17">
        <v>621000</v>
      </c>
      <c r="K647" s="24" t="str">
        <f>IFERROR(VLOOKUP(B647,#REF!,11,FALSE),"")</f>
        <v/>
      </c>
      <c r="L647" s="17">
        <v>408000</v>
      </c>
      <c r="M647" s="6" t="s">
        <v>773</v>
      </c>
      <c r="N647" s="18" t="str">
        <f>IFERROR(VLOOKUP(B647,#REF!,13,FALSE),"")</f>
        <v/>
      </c>
      <c r="O647" s="19" t="str">
        <f>IFERROR(VLOOKUP(B647,#REF!,14,FALSE),"")</f>
        <v/>
      </c>
      <c r="P647" s="19" t="str">
        <f>IFERROR(VLOOKUP(B647,#REF!,15,FALSE),"")</f>
        <v/>
      </c>
      <c r="Q647" s="19"/>
      <c r="R647" s="25" t="str">
        <f>IFERROR(VLOOKUP(B647,#REF!,16,FALSE),"")</f>
        <v/>
      </c>
      <c r="S647" s="17">
        <v>0</v>
      </c>
      <c r="T647" s="17">
        <v>357000</v>
      </c>
      <c r="U647" s="17">
        <v>51000</v>
      </c>
      <c r="V647" s="17">
        <v>0</v>
      </c>
      <c r="W647" s="20">
        <v>1755000</v>
      </c>
      <c r="X647" s="16">
        <v>19.2</v>
      </c>
      <c r="Y647" s="21">
        <v>376</v>
      </c>
      <c r="Z647" s="20">
        <v>91500</v>
      </c>
      <c r="AA647" s="17">
        <v>4667</v>
      </c>
      <c r="AB647" s="22">
        <v>0.1</v>
      </c>
      <c r="AC647" s="23">
        <f t="shared" si="65"/>
        <v>50</v>
      </c>
      <c r="AD647" s="17">
        <v>0</v>
      </c>
      <c r="AE647" s="17">
        <v>15000</v>
      </c>
      <c r="AF647" s="17">
        <v>33000</v>
      </c>
      <c r="AG647" s="17">
        <v>33000</v>
      </c>
      <c r="AH647" s="15" t="s">
        <v>42</v>
      </c>
    </row>
    <row r="648" spans="1:34">
      <c r="A648" s="13" t="str">
        <f t="shared" si="60"/>
        <v>Normal</v>
      </c>
      <c r="B648" s="14" t="s">
        <v>673</v>
      </c>
      <c r="C648" s="15" t="s">
        <v>277</v>
      </c>
      <c r="D648" s="19">
        <f t="shared" si="61"/>
        <v>16</v>
      </c>
      <c r="E648" s="16">
        <f t="shared" si="62"/>
        <v>18</v>
      </c>
      <c r="F648" s="16">
        <f t="shared" si="63"/>
        <v>0</v>
      </c>
      <c r="G648" s="16">
        <f t="shared" si="64"/>
        <v>0</v>
      </c>
      <c r="H648" s="24" t="str">
        <f>IFERROR(VLOOKUP(B648,#REF!,8,FALSE),"")</f>
        <v/>
      </c>
      <c r="I648" s="17">
        <v>0</v>
      </c>
      <c r="J648" s="17">
        <v>0</v>
      </c>
      <c r="K648" s="24" t="str">
        <f>IFERROR(VLOOKUP(B648,#REF!,11,FALSE),"")</f>
        <v/>
      </c>
      <c r="L648" s="17">
        <v>6000</v>
      </c>
      <c r="M648" s="6" t="s">
        <v>758</v>
      </c>
      <c r="N648" s="18" t="str">
        <f>IFERROR(VLOOKUP(B648,#REF!,13,FALSE),"")</f>
        <v/>
      </c>
      <c r="O648" s="19" t="str">
        <f>IFERROR(VLOOKUP(B648,#REF!,14,FALSE),"")</f>
        <v/>
      </c>
      <c r="P648" s="19" t="str">
        <f>IFERROR(VLOOKUP(B648,#REF!,15,FALSE),"")</f>
        <v/>
      </c>
      <c r="Q648" s="19"/>
      <c r="R648" s="25" t="str">
        <f>IFERROR(VLOOKUP(B648,#REF!,16,FALSE),"")</f>
        <v/>
      </c>
      <c r="S648" s="17">
        <v>0</v>
      </c>
      <c r="T648" s="17">
        <v>6000</v>
      </c>
      <c r="U648" s="17">
        <v>0</v>
      </c>
      <c r="V648" s="17">
        <v>0</v>
      </c>
      <c r="W648" s="20">
        <v>6000</v>
      </c>
      <c r="X648" s="16">
        <v>16</v>
      </c>
      <c r="Y648" s="21">
        <v>18</v>
      </c>
      <c r="Z648" s="20">
        <v>375</v>
      </c>
      <c r="AA648" s="17">
        <v>333</v>
      </c>
      <c r="AB648" s="22">
        <v>0.9</v>
      </c>
      <c r="AC648" s="23">
        <f t="shared" si="65"/>
        <v>100</v>
      </c>
      <c r="AD648" s="17">
        <v>3000</v>
      </c>
      <c r="AE648" s="17">
        <v>0</v>
      </c>
      <c r="AF648" s="17">
        <v>0</v>
      </c>
      <c r="AG648" s="17">
        <v>0</v>
      </c>
      <c r="AH648" s="15" t="s">
        <v>42</v>
      </c>
    </row>
    <row r="649" spans="1:34">
      <c r="A649" s="13" t="str">
        <f t="shared" si="60"/>
        <v>Normal</v>
      </c>
      <c r="B649" s="14" t="s">
        <v>674</v>
      </c>
      <c r="C649" s="15" t="s">
        <v>277</v>
      </c>
      <c r="D649" s="19">
        <f t="shared" si="61"/>
        <v>3.2</v>
      </c>
      <c r="E649" s="16" t="str">
        <f t="shared" si="62"/>
        <v>--</v>
      </c>
      <c r="F649" s="16">
        <f t="shared" si="63"/>
        <v>0</v>
      </c>
      <c r="G649" s="16" t="str">
        <f t="shared" si="64"/>
        <v>--</v>
      </c>
      <c r="H649" s="24" t="str">
        <f>IFERROR(VLOOKUP(B649,#REF!,8,FALSE),"")</f>
        <v/>
      </c>
      <c r="I649" s="17">
        <v>0</v>
      </c>
      <c r="J649" s="17">
        <v>0</v>
      </c>
      <c r="K649" s="24" t="str">
        <f>IFERROR(VLOOKUP(B649,#REF!,11,FALSE),"")</f>
        <v/>
      </c>
      <c r="L649" s="17">
        <v>2555</v>
      </c>
      <c r="M649" s="6" t="s">
        <v>758</v>
      </c>
      <c r="N649" s="18" t="str">
        <f>IFERROR(VLOOKUP(B649,#REF!,13,FALSE),"")</f>
        <v/>
      </c>
      <c r="O649" s="19" t="str">
        <f>IFERROR(VLOOKUP(B649,#REF!,14,FALSE),"")</f>
        <v/>
      </c>
      <c r="P649" s="19" t="str">
        <f>IFERROR(VLOOKUP(B649,#REF!,15,FALSE),"")</f>
        <v/>
      </c>
      <c r="Q649" s="19"/>
      <c r="R649" s="25" t="str">
        <f>IFERROR(VLOOKUP(B649,#REF!,16,FALSE),"")</f>
        <v/>
      </c>
      <c r="S649" s="17">
        <v>0</v>
      </c>
      <c r="T649" s="17">
        <v>2555</v>
      </c>
      <c r="U649" s="17">
        <v>0</v>
      </c>
      <c r="V649" s="17">
        <v>0</v>
      </c>
      <c r="W649" s="20">
        <v>2555</v>
      </c>
      <c r="X649" s="16">
        <v>3.2</v>
      </c>
      <c r="Y649" s="21" t="s">
        <v>40</v>
      </c>
      <c r="Z649" s="20">
        <v>802</v>
      </c>
      <c r="AA649" s="17">
        <v>0</v>
      </c>
      <c r="AB649" s="22" t="s">
        <v>41</v>
      </c>
      <c r="AC649" s="23" t="str">
        <f t="shared" si="65"/>
        <v>E</v>
      </c>
      <c r="AD649" s="17">
        <v>0</v>
      </c>
      <c r="AE649" s="17">
        <v>0</v>
      </c>
      <c r="AF649" s="17">
        <v>0</v>
      </c>
      <c r="AG649" s="17">
        <v>0</v>
      </c>
      <c r="AH649" s="15" t="s">
        <v>42</v>
      </c>
    </row>
    <row r="650" spans="1:34">
      <c r="A650" s="13" t="str">
        <f t="shared" si="60"/>
        <v>Normal</v>
      </c>
      <c r="B650" s="14" t="s">
        <v>675</v>
      </c>
      <c r="C650" s="15" t="s">
        <v>277</v>
      </c>
      <c r="D650" s="19">
        <f t="shared" si="61"/>
        <v>5.9</v>
      </c>
      <c r="E650" s="16" t="str">
        <f t="shared" si="62"/>
        <v>--</v>
      </c>
      <c r="F650" s="16">
        <f t="shared" si="63"/>
        <v>0</v>
      </c>
      <c r="G650" s="16" t="str">
        <f t="shared" si="64"/>
        <v>--</v>
      </c>
      <c r="H650" s="24" t="str">
        <f>IFERROR(VLOOKUP(B650,#REF!,8,FALSE),"")</f>
        <v/>
      </c>
      <c r="I650" s="17">
        <v>0</v>
      </c>
      <c r="J650" s="17">
        <v>0</v>
      </c>
      <c r="K650" s="24" t="str">
        <f>IFERROR(VLOOKUP(B650,#REF!,11,FALSE),"")</f>
        <v/>
      </c>
      <c r="L650" s="17">
        <v>425</v>
      </c>
      <c r="M650" s="6" t="s">
        <v>758</v>
      </c>
      <c r="N650" s="18" t="str">
        <f>IFERROR(VLOOKUP(B650,#REF!,13,FALSE),"")</f>
        <v/>
      </c>
      <c r="O650" s="19" t="str">
        <f>IFERROR(VLOOKUP(B650,#REF!,14,FALSE),"")</f>
        <v/>
      </c>
      <c r="P650" s="19" t="str">
        <f>IFERROR(VLOOKUP(B650,#REF!,15,FALSE),"")</f>
        <v/>
      </c>
      <c r="Q650" s="19"/>
      <c r="R650" s="25" t="str">
        <f>IFERROR(VLOOKUP(B650,#REF!,16,FALSE),"")</f>
        <v/>
      </c>
      <c r="S650" s="17">
        <v>0</v>
      </c>
      <c r="T650" s="17">
        <v>425</v>
      </c>
      <c r="U650" s="17">
        <v>0</v>
      </c>
      <c r="V650" s="17">
        <v>0</v>
      </c>
      <c r="W650" s="20">
        <v>425</v>
      </c>
      <c r="X650" s="16">
        <v>5.9</v>
      </c>
      <c r="Y650" s="21" t="s">
        <v>40</v>
      </c>
      <c r="Z650" s="20">
        <v>72</v>
      </c>
      <c r="AA650" s="17" t="s">
        <v>40</v>
      </c>
      <c r="AB650" s="22" t="s">
        <v>41</v>
      </c>
      <c r="AC650" s="23" t="str">
        <f t="shared" si="65"/>
        <v>E</v>
      </c>
      <c r="AD650" s="17">
        <v>0</v>
      </c>
      <c r="AE650" s="17">
        <v>0</v>
      </c>
      <c r="AF650" s="17">
        <v>0</v>
      </c>
      <c r="AG650" s="17">
        <v>0</v>
      </c>
      <c r="AH650" s="15" t="s">
        <v>42</v>
      </c>
    </row>
    <row r="651" spans="1:34">
      <c r="A651" s="13" t="str">
        <f t="shared" si="60"/>
        <v>Normal</v>
      </c>
      <c r="B651" s="14" t="s">
        <v>676</v>
      </c>
      <c r="C651" s="15" t="s">
        <v>277</v>
      </c>
      <c r="D651" s="19">
        <f t="shared" si="61"/>
        <v>3.9</v>
      </c>
      <c r="E651" s="16" t="str">
        <f t="shared" si="62"/>
        <v>--</v>
      </c>
      <c r="F651" s="16">
        <f t="shared" si="63"/>
        <v>0</v>
      </c>
      <c r="G651" s="16" t="str">
        <f t="shared" si="64"/>
        <v>--</v>
      </c>
      <c r="H651" s="24" t="str">
        <f>IFERROR(VLOOKUP(B651,#REF!,8,FALSE),"")</f>
        <v/>
      </c>
      <c r="I651" s="17">
        <v>0</v>
      </c>
      <c r="J651" s="17">
        <v>0</v>
      </c>
      <c r="K651" s="24" t="str">
        <f>IFERROR(VLOOKUP(B651,#REF!,11,FALSE),"")</f>
        <v/>
      </c>
      <c r="L651" s="17">
        <v>1540</v>
      </c>
      <c r="M651" s="6" t="s">
        <v>758</v>
      </c>
      <c r="N651" s="18" t="str">
        <f>IFERROR(VLOOKUP(B651,#REF!,13,FALSE),"")</f>
        <v/>
      </c>
      <c r="O651" s="19" t="str">
        <f>IFERROR(VLOOKUP(B651,#REF!,14,FALSE),"")</f>
        <v/>
      </c>
      <c r="P651" s="19" t="str">
        <f>IFERROR(VLOOKUP(B651,#REF!,15,FALSE),"")</f>
        <v/>
      </c>
      <c r="Q651" s="19"/>
      <c r="R651" s="25" t="str">
        <f>IFERROR(VLOOKUP(B651,#REF!,16,FALSE),"")</f>
        <v/>
      </c>
      <c r="S651" s="17">
        <v>0</v>
      </c>
      <c r="T651" s="17">
        <v>1540</v>
      </c>
      <c r="U651" s="17">
        <v>0</v>
      </c>
      <c r="V651" s="17">
        <v>0</v>
      </c>
      <c r="W651" s="20">
        <v>1540</v>
      </c>
      <c r="X651" s="16">
        <v>3.9</v>
      </c>
      <c r="Y651" s="21" t="s">
        <v>40</v>
      </c>
      <c r="Z651" s="20">
        <v>395</v>
      </c>
      <c r="AA651" s="17" t="s">
        <v>40</v>
      </c>
      <c r="AB651" s="22" t="s">
        <v>41</v>
      </c>
      <c r="AC651" s="23" t="str">
        <f t="shared" si="65"/>
        <v>E</v>
      </c>
      <c r="AD651" s="17">
        <v>0</v>
      </c>
      <c r="AE651" s="17">
        <v>0</v>
      </c>
      <c r="AF651" s="17">
        <v>0</v>
      </c>
      <c r="AG651" s="17">
        <v>0</v>
      </c>
      <c r="AH651" s="15" t="s">
        <v>42</v>
      </c>
    </row>
    <row r="652" spans="1:34">
      <c r="A652" s="13" t="str">
        <f t="shared" si="60"/>
        <v>OverStock</v>
      </c>
      <c r="B652" s="14" t="s">
        <v>677</v>
      </c>
      <c r="C652" s="15" t="s">
        <v>277</v>
      </c>
      <c r="D652" s="19">
        <f t="shared" si="61"/>
        <v>4.5</v>
      </c>
      <c r="E652" s="16" t="str">
        <f t="shared" si="62"/>
        <v>--</v>
      </c>
      <c r="F652" s="16">
        <f t="shared" si="63"/>
        <v>14.2</v>
      </c>
      <c r="G652" s="16" t="str">
        <f t="shared" si="64"/>
        <v>--</v>
      </c>
      <c r="H652" s="24" t="str">
        <f>IFERROR(VLOOKUP(B652,#REF!,8,FALSE),"")</f>
        <v/>
      </c>
      <c r="I652" s="17">
        <v>6000</v>
      </c>
      <c r="J652" s="17">
        <v>6000</v>
      </c>
      <c r="K652" s="24" t="str">
        <f>IFERROR(VLOOKUP(B652,#REF!,11,FALSE),"")</f>
        <v/>
      </c>
      <c r="L652" s="17">
        <v>1902</v>
      </c>
      <c r="M652" s="6" t="s">
        <v>758</v>
      </c>
      <c r="N652" s="18" t="str">
        <f>IFERROR(VLOOKUP(B652,#REF!,13,FALSE),"")</f>
        <v/>
      </c>
      <c r="O652" s="19" t="str">
        <f>IFERROR(VLOOKUP(B652,#REF!,14,FALSE),"")</f>
        <v/>
      </c>
      <c r="P652" s="19" t="str">
        <f>IFERROR(VLOOKUP(B652,#REF!,15,FALSE),"")</f>
        <v/>
      </c>
      <c r="Q652" s="19"/>
      <c r="R652" s="25" t="str">
        <f>IFERROR(VLOOKUP(B652,#REF!,16,FALSE),"")</f>
        <v/>
      </c>
      <c r="S652" s="17">
        <v>0</v>
      </c>
      <c r="T652" s="17">
        <v>1902</v>
      </c>
      <c r="U652" s="17">
        <v>0</v>
      </c>
      <c r="V652" s="17">
        <v>0</v>
      </c>
      <c r="W652" s="20">
        <v>7902</v>
      </c>
      <c r="X652" s="16">
        <v>18.7</v>
      </c>
      <c r="Y652" s="21" t="s">
        <v>40</v>
      </c>
      <c r="Z652" s="20">
        <v>422</v>
      </c>
      <c r="AA652" s="17">
        <v>0</v>
      </c>
      <c r="AB652" s="22" t="s">
        <v>41</v>
      </c>
      <c r="AC652" s="23" t="str">
        <f t="shared" si="65"/>
        <v>E</v>
      </c>
      <c r="AD652" s="17">
        <v>0</v>
      </c>
      <c r="AE652" s="17">
        <v>0</v>
      </c>
      <c r="AF652" s="17">
        <v>0</v>
      </c>
      <c r="AG652" s="17">
        <v>0</v>
      </c>
      <c r="AH652" s="15" t="s">
        <v>42</v>
      </c>
    </row>
    <row r="653" spans="1:34">
      <c r="A653" s="13" t="str">
        <f t="shared" si="60"/>
        <v>Normal</v>
      </c>
      <c r="B653" s="14" t="s">
        <v>678</v>
      </c>
      <c r="C653" s="15" t="s">
        <v>277</v>
      </c>
      <c r="D653" s="19">
        <f t="shared" si="61"/>
        <v>1.3</v>
      </c>
      <c r="E653" s="16">
        <f t="shared" si="62"/>
        <v>3</v>
      </c>
      <c r="F653" s="16">
        <f t="shared" si="63"/>
        <v>4</v>
      </c>
      <c r="G653" s="16">
        <f t="shared" si="64"/>
        <v>9</v>
      </c>
      <c r="H653" s="24" t="str">
        <f>IFERROR(VLOOKUP(B653,#REF!,8,FALSE),"")</f>
        <v/>
      </c>
      <c r="I653" s="17">
        <v>9000</v>
      </c>
      <c r="J653" s="17">
        <v>9000</v>
      </c>
      <c r="K653" s="24" t="str">
        <f>IFERROR(VLOOKUP(B653,#REF!,11,FALSE),"")</f>
        <v/>
      </c>
      <c r="L653" s="17">
        <v>3000</v>
      </c>
      <c r="M653" s="6" t="s">
        <v>758</v>
      </c>
      <c r="N653" s="18" t="str">
        <f>IFERROR(VLOOKUP(B653,#REF!,13,FALSE),"")</f>
        <v/>
      </c>
      <c r="O653" s="19" t="str">
        <f>IFERROR(VLOOKUP(B653,#REF!,14,FALSE),"")</f>
        <v/>
      </c>
      <c r="P653" s="19" t="str">
        <f>IFERROR(VLOOKUP(B653,#REF!,15,FALSE),"")</f>
        <v/>
      </c>
      <c r="Q653" s="19"/>
      <c r="R653" s="25" t="str">
        <f>IFERROR(VLOOKUP(B653,#REF!,16,FALSE),"")</f>
        <v/>
      </c>
      <c r="S653" s="17">
        <v>0</v>
      </c>
      <c r="T653" s="17">
        <v>3000</v>
      </c>
      <c r="U653" s="17">
        <v>0</v>
      </c>
      <c r="V653" s="17">
        <v>0</v>
      </c>
      <c r="W653" s="20">
        <v>12000</v>
      </c>
      <c r="X653" s="16">
        <v>5.3</v>
      </c>
      <c r="Y653" s="21">
        <v>12</v>
      </c>
      <c r="Z653" s="20">
        <v>2250</v>
      </c>
      <c r="AA653" s="17">
        <v>1000</v>
      </c>
      <c r="AB653" s="22">
        <v>0.4</v>
      </c>
      <c r="AC653" s="23">
        <f t="shared" si="65"/>
        <v>50</v>
      </c>
      <c r="AD653" s="17">
        <v>3000</v>
      </c>
      <c r="AE653" s="17">
        <v>3000</v>
      </c>
      <c r="AF653" s="17">
        <v>3000</v>
      </c>
      <c r="AG653" s="17">
        <v>9000</v>
      </c>
      <c r="AH653" s="15" t="s">
        <v>42</v>
      </c>
    </row>
    <row r="654" spans="1:34">
      <c r="A654" s="13" t="str">
        <f t="shared" si="60"/>
        <v>None</v>
      </c>
      <c r="B654" s="14" t="s">
        <v>679</v>
      </c>
      <c r="C654" s="15" t="s">
        <v>277</v>
      </c>
      <c r="D654" s="19" t="str">
        <f t="shared" si="61"/>
        <v>前八週無拉料</v>
      </c>
      <c r="E654" s="16" t="str">
        <f t="shared" si="62"/>
        <v>--</v>
      </c>
      <c r="F654" s="16" t="str">
        <f t="shared" si="63"/>
        <v>--</v>
      </c>
      <c r="G654" s="16" t="str">
        <f t="shared" si="64"/>
        <v>--</v>
      </c>
      <c r="H654" s="24" t="str">
        <f>IFERROR(VLOOKUP(B654,#REF!,8,FALSE),"")</f>
        <v/>
      </c>
      <c r="I654" s="17">
        <v>0</v>
      </c>
      <c r="J654" s="17">
        <v>0</v>
      </c>
      <c r="K654" s="24" t="str">
        <f>IFERROR(VLOOKUP(B654,#REF!,11,FALSE),"")</f>
        <v/>
      </c>
      <c r="L654" s="17">
        <v>0</v>
      </c>
      <c r="M654" s="6" t="s">
        <v>752</v>
      </c>
      <c r="N654" s="18" t="str">
        <f>IFERROR(VLOOKUP(B654,#REF!,13,FALSE),"")</f>
        <v/>
      </c>
      <c r="O654" s="19" t="str">
        <f>IFERROR(VLOOKUP(B654,#REF!,14,FALSE),"")</f>
        <v/>
      </c>
      <c r="P654" s="19" t="str">
        <f>IFERROR(VLOOKUP(B654,#REF!,15,FALSE),"")</f>
        <v/>
      </c>
      <c r="Q654" s="19"/>
      <c r="R654" s="25" t="str">
        <f>IFERROR(VLOOKUP(B654,#REF!,16,FALSE),"")</f>
        <v/>
      </c>
      <c r="S654" s="17">
        <v>0</v>
      </c>
      <c r="T654" s="17">
        <v>0</v>
      </c>
      <c r="U654" s="17">
        <v>0</v>
      </c>
      <c r="V654" s="17">
        <v>0</v>
      </c>
      <c r="W654" s="20">
        <v>0</v>
      </c>
      <c r="X654" s="16" t="s">
        <v>40</v>
      </c>
      <c r="Y654" s="21" t="s">
        <v>40</v>
      </c>
      <c r="Z654" s="20">
        <v>0</v>
      </c>
      <c r="AA654" s="17" t="s">
        <v>40</v>
      </c>
      <c r="AB654" s="22" t="s">
        <v>41</v>
      </c>
      <c r="AC654" s="23" t="str">
        <f t="shared" si="65"/>
        <v>E</v>
      </c>
      <c r="AD654" s="17">
        <v>0</v>
      </c>
      <c r="AE654" s="17">
        <v>0</v>
      </c>
      <c r="AF654" s="17">
        <v>0</v>
      </c>
      <c r="AG654" s="17">
        <v>0</v>
      </c>
      <c r="AH654" s="15" t="s">
        <v>42</v>
      </c>
    </row>
    <row r="655" spans="1:34">
      <c r="A655" s="13" t="str">
        <f t="shared" si="60"/>
        <v>Normal</v>
      </c>
      <c r="B655" s="14" t="s">
        <v>680</v>
      </c>
      <c r="C655" s="15" t="s">
        <v>277</v>
      </c>
      <c r="D655" s="19">
        <f t="shared" si="61"/>
        <v>1.6</v>
      </c>
      <c r="E655" s="16">
        <f t="shared" si="62"/>
        <v>1.1000000000000001</v>
      </c>
      <c r="F655" s="16">
        <f t="shared" si="63"/>
        <v>6.3</v>
      </c>
      <c r="G655" s="16">
        <f t="shared" si="64"/>
        <v>4.4000000000000004</v>
      </c>
      <c r="H655" s="24" t="str">
        <f>IFERROR(VLOOKUP(B655,#REF!,8,FALSE),"")</f>
        <v/>
      </c>
      <c r="I655" s="17">
        <v>450000</v>
      </c>
      <c r="J655" s="17">
        <v>450000</v>
      </c>
      <c r="K655" s="24" t="str">
        <f>IFERROR(VLOOKUP(B655,#REF!,11,FALSE),"")</f>
        <v/>
      </c>
      <c r="L655" s="17">
        <v>117000</v>
      </c>
      <c r="M655" s="6" t="s">
        <v>752</v>
      </c>
      <c r="N655" s="18" t="str">
        <f>IFERROR(VLOOKUP(B655,#REF!,13,FALSE),"")</f>
        <v/>
      </c>
      <c r="O655" s="19" t="str">
        <f>IFERROR(VLOOKUP(B655,#REF!,14,FALSE),"")</f>
        <v/>
      </c>
      <c r="P655" s="19" t="str">
        <f>IFERROR(VLOOKUP(B655,#REF!,15,FALSE),"")</f>
        <v/>
      </c>
      <c r="Q655" s="19"/>
      <c r="R655" s="25" t="str">
        <f>IFERROR(VLOOKUP(B655,#REF!,16,FALSE),"")</f>
        <v/>
      </c>
      <c r="S655" s="17">
        <v>0</v>
      </c>
      <c r="T655" s="17">
        <v>117000</v>
      </c>
      <c r="U655" s="17">
        <v>0</v>
      </c>
      <c r="V655" s="17">
        <v>0</v>
      </c>
      <c r="W655" s="20">
        <v>567000</v>
      </c>
      <c r="X655" s="16">
        <v>7.9</v>
      </c>
      <c r="Y655" s="21">
        <v>5.5</v>
      </c>
      <c r="Z655" s="20">
        <v>72000</v>
      </c>
      <c r="AA655" s="17">
        <v>102629</v>
      </c>
      <c r="AB655" s="22">
        <v>1.4</v>
      </c>
      <c r="AC655" s="23">
        <f t="shared" si="65"/>
        <v>100</v>
      </c>
      <c r="AD655" s="17">
        <v>121889</v>
      </c>
      <c r="AE655" s="17">
        <v>490766</v>
      </c>
      <c r="AF655" s="17">
        <v>425334</v>
      </c>
      <c r="AG655" s="17">
        <v>141247</v>
      </c>
      <c r="AH655" s="15" t="s">
        <v>42</v>
      </c>
    </row>
    <row r="656" spans="1:34">
      <c r="A656" s="13" t="str">
        <f t="shared" si="60"/>
        <v>None</v>
      </c>
      <c r="B656" s="14" t="s">
        <v>682</v>
      </c>
      <c r="C656" s="15" t="s">
        <v>277</v>
      </c>
      <c r="D656" s="19" t="str">
        <f t="shared" si="61"/>
        <v>前八週無拉料</v>
      </c>
      <c r="E656" s="16" t="str">
        <f t="shared" si="62"/>
        <v>--</v>
      </c>
      <c r="F656" s="16" t="str">
        <f t="shared" si="63"/>
        <v>--</v>
      </c>
      <c r="G656" s="16" t="str">
        <f t="shared" si="64"/>
        <v>--</v>
      </c>
      <c r="H656" s="24" t="str">
        <f>IFERROR(VLOOKUP(B656,#REF!,8,FALSE),"")</f>
        <v/>
      </c>
      <c r="I656" s="17">
        <v>0</v>
      </c>
      <c r="J656" s="17">
        <v>0</v>
      </c>
      <c r="K656" s="24" t="str">
        <f>IFERROR(VLOOKUP(B656,#REF!,11,FALSE),"")</f>
        <v/>
      </c>
      <c r="L656" s="17">
        <v>0</v>
      </c>
      <c r="M656" s="6" t="s">
        <v>752</v>
      </c>
      <c r="N656" s="18" t="str">
        <f>IFERROR(VLOOKUP(B656,#REF!,13,FALSE),"")</f>
        <v/>
      </c>
      <c r="O656" s="19" t="str">
        <f>IFERROR(VLOOKUP(B656,#REF!,14,FALSE),"")</f>
        <v/>
      </c>
      <c r="P656" s="19" t="str">
        <f>IFERROR(VLOOKUP(B656,#REF!,15,FALSE),"")</f>
        <v/>
      </c>
      <c r="Q656" s="19"/>
      <c r="R656" s="25" t="str">
        <f>IFERROR(VLOOKUP(B656,#REF!,16,FALSE),"")</f>
        <v/>
      </c>
      <c r="S656" s="17">
        <v>0</v>
      </c>
      <c r="T656" s="17">
        <v>0</v>
      </c>
      <c r="U656" s="17">
        <v>0</v>
      </c>
      <c r="V656" s="17">
        <v>0</v>
      </c>
      <c r="W656" s="20">
        <v>0</v>
      </c>
      <c r="X656" s="16" t="s">
        <v>40</v>
      </c>
      <c r="Y656" s="21" t="s">
        <v>40</v>
      </c>
      <c r="Z656" s="20">
        <v>0</v>
      </c>
      <c r="AA656" s="17" t="s">
        <v>40</v>
      </c>
      <c r="AB656" s="22" t="s">
        <v>41</v>
      </c>
      <c r="AC656" s="23" t="str">
        <f t="shared" si="65"/>
        <v>E</v>
      </c>
      <c r="AD656" s="17">
        <v>0</v>
      </c>
      <c r="AE656" s="17">
        <v>0</v>
      </c>
      <c r="AF656" s="17">
        <v>0</v>
      </c>
      <c r="AG656" s="17">
        <v>0</v>
      </c>
      <c r="AH656" s="15" t="s">
        <v>42</v>
      </c>
    </row>
    <row r="657" spans="1:34">
      <c r="A657" s="13" t="str">
        <f t="shared" si="60"/>
        <v>Normal</v>
      </c>
      <c r="B657" s="14" t="s">
        <v>683</v>
      </c>
      <c r="C657" s="15" t="s">
        <v>277</v>
      </c>
      <c r="D657" s="19">
        <f t="shared" si="61"/>
        <v>2</v>
      </c>
      <c r="E657" s="16" t="str">
        <f t="shared" si="62"/>
        <v>--</v>
      </c>
      <c r="F657" s="16">
        <f t="shared" si="63"/>
        <v>10.1</v>
      </c>
      <c r="G657" s="16" t="str">
        <f t="shared" si="64"/>
        <v>--</v>
      </c>
      <c r="H657" s="24" t="str">
        <f>IFERROR(VLOOKUP(B657,#REF!,8,FALSE),"")</f>
        <v/>
      </c>
      <c r="I657" s="17">
        <v>201000</v>
      </c>
      <c r="J657" s="17">
        <v>201000</v>
      </c>
      <c r="K657" s="24" t="str">
        <f>IFERROR(VLOOKUP(B657,#REF!,11,FALSE),"")</f>
        <v/>
      </c>
      <c r="L657" s="17">
        <v>39000</v>
      </c>
      <c r="M657" s="6" t="s">
        <v>766</v>
      </c>
      <c r="N657" s="18" t="str">
        <f>IFERROR(VLOOKUP(B657,#REF!,13,FALSE),"")</f>
        <v/>
      </c>
      <c r="O657" s="19" t="str">
        <f>IFERROR(VLOOKUP(B657,#REF!,14,FALSE),"")</f>
        <v/>
      </c>
      <c r="P657" s="19" t="str">
        <f>IFERROR(VLOOKUP(B657,#REF!,15,FALSE),"")</f>
        <v/>
      </c>
      <c r="Q657" s="19"/>
      <c r="R657" s="25" t="str">
        <f>IFERROR(VLOOKUP(B657,#REF!,16,FALSE),"")</f>
        <v/>
      </c>
      <c r="S657" s="17">
        <v>0</v>
      </c>
      <c r="T657" s="17">
        <v>39000</v>
      </c>
      <c r="U657" s="17">
        <v>0</v>
      </c>
      <c r="V657" s="17">
        <v>0</v>
      </c>
      <c r="W657" s="20">
        <v>240000</v>
      </c>
      <c r="X657" s="16">
        <v>12.1</v>
      </c>
      <c r="Y657" s="21" t="s">
        <v>40</v>
      </c>
      <c r="Z657" s="20">
        <v>19875</v>
      </c>
      <c r="AA657" s="17" t="s">
        <v>40</v>
      </c>
      <c r="AB657" s="22" t="s">
        <v>41</v>
      </c>
      <c r="AC657" s="23" t="str">
        <f t="shared" si="65"/>
        <v>E</v>
      </c>
      <c r="AD657" s="17">
        <v>0</v>
      </c>
      <c r="AE657" s="17">
        <v>0</v>
      </c>
      <c r="AF657" s="17">
        <v>0</v>
      </c>
      <c r="AG657" s="17">
        <v>0</v>
      </c>
      <c r="AH657" s="15" t="s">
        <v>42</v>
      </c>
    </row>
    <row r="658" spans="1:34">
      <c r="A658" s="13" t="str">
        <f t="shared" si="60"/>
        <v>FCST</v>
      </c>
      <c r="B658" s="14" t="s">
        <v>776</v>
      </c>
      <c r="C658" s="15" t="s">
        <v>684</v>
      </c>
      <c r="D658" s="19" t="str">
        <f t="shared" si="61"/>
        <v>前八週無拉料</v>
      </c>
      <c r="E658" s="16">
        <f t="shared" si="62"/>
        <v>0</v>
      </c>
      <c r="F658" s="16" t="str">
        <f t="shared" si="63"/>
        <v>--</v>
      </c>
      <c r="G658" s="16">
        <f t="shared" si="64"/>
        <v>0</v>
      </c>
      <c r="H658" s="24" t="str">
        <f>IFERROR(VLOOKUP(B658,#REF!,8,FALSE),"")</f>
        <v/>
      </c>
      <c r="I658" s="17">
        <v>0</v>
      </c>
      <c r="J658" s="17">
        <v>0</v>
      </c>
      <c r="K658" s="24" t="str">
        <f>IFERROR(VLOOKUP(B658,#REF!,11,FALSE),"")</f>
        <v/>
      </c>
      <c r="L658" s="17">
        <v>0</v>
      </c>
      <c r="M658" s="6" t="s">
        <v>758</v>
      </c>
      <c r="N658" s="18" t="str">
        <f>IFERROR(VLOOKUP(B658,#REF!,13,FALSE),"")</f>
        <v/>
      </c>
      <c r="O658" s="19" t="str">
        <f>IFERROR(VLOOKUP(B658,#REF!,14,FALSE),"")</f>
        <v/>
      </c>
      <c r="P658" s="19" t="str">
        <f>IFERROR(VLOOKUP(B658,#REF!,15,FALSE),"")</f>
        <v/>
      </c>
      <c r="Q658" s="19"/>
      <c r="R658" s="25" t="str">
        <f>IFERROR(VLOOKUP(B658,#REF!,16,FALSE),"")</f>
        <v/>
      </c>
      <c r="S658" s="17">
        <v>0</v>
      </c>
      <c r="T658" s="17">
        <v>0</v>
      </c>
      <c r="U658" s="17">
        <v>0</v>
      </c>
      <c r="V658" s="17">
        <v>0</v>
      </c>
      <c r="W658" s="20">
        <v>0</v>
      </c>
      <c r="X658" s="16" t="s">
        <v>40</v>
      </c>
      <c r="Y658" s="21">
        <v>0</v>
      </c>
      <c r="Z658" s="20">
        <v>0</v>
      </c>
      <c r="AA658" s="17">
        <v>37983</v>
      </c>
      <c r="AB658" s="22" t="s">
        <v>51</v>
      </c>
      <c r="AC658" s="23" t="str">
        <f t="shared" si="65"/>
        <v>F</v>
      </c>
      <c r="AD658" s="17">
        <v>0</v>
      </c>
      <c r="AE658" s="17">
        <v>341848</v>
      </c>
      <c r="AF658" s="17">
        <v>0</v>
      </c>
      <c r="AG658" s="17">
        <v>0</v>
      </c>
      <c r="AH658" s="15" t="s">
        <v>42</v>
      </c>
    </row>
    <row r="659" spans="1:34">
      <c r="A659" s="13" t="str">
        <f t="shared" si="60"/>
        <v>Normal</v>
      </c>
      <c r="B659" s="14" t="s">
        <v>685</v>
      </c>
      <c r="C659" s="15" t="s">
        <v>522</v>
      </c>
      <c r="D659" s="19">
        <f t="shared" si="61"/>
        <v>0</v>
      </c>
      <c r="E659" s="16">
        <f t="shared" si="62"/>
        <v>0</v>
      </c>
      <c r="F659" s="16">
        <f t="shared" si="63"/>
        <v>9.4</v>
      </c>
      <c r="G659" s="16">
        <f t="shared" si="64"/>
        <v>18.600000000000001</v>
      </c>
      <c r="H659" s="24" t="str">
        <f>IFERROR(VLOOKUP(B659,#REF!,8,FALSE),"")</f>
        <v/>
      </c>
      <c r="I659" s="17">
        <v>2665000</v>
      </c>
      <c r="J659" s="17">
        <v>2005000</v>
      </c>
      <c r="K659" s="24" t="str">
        <f>IFERROR(VLOOKUP(B659,#REF!,11,FALSE),"")</f>
        <v/>
      </c>
      <c r="L659" s="17">
        <v>0</v>
      </c>
      <c r="M659" s="6" t="s">
        <v>752</v>
      </c>
      <c r="N659" s="18" t="str">
        <f>IFERROR(VLOOKUP(B659,#REF!,13,FALSE),"")</f>
        <v/>
      </c>
      <c r="O659" s="19" t="str">
        <f>IFERROR(VLOOKUP(B659,#REF!,14,FALSE),"")</f>
        <v/>
      </c>
      <c r="P659" s="19" t="str">
        <f>IFERROR(VLOOKUP(B659,#REF!,15,FALSE),"")</f>
        <v/>
      </c>
      <c r="Q659" s="19"/>
      <c r="R659" s="25" t="str">
        <f>IFERROR(VLOOKUP(B659,#REF!,16,FALSE),"")</f>
        <v/>
      </c>
      <c r="S659" s="17">
        <v>0</v>
      </c>
      <c r="T659" s="17">
        <v>0</v>
      </c>
      <c r="U659" s="17">
        <v>0</v>
      </c>
      <c r="V659" s="17">
        <v>0</v>
      </c>
      <c r="W659" s="20">
        <v>2665000</v>
      </c>
      <c r="X659" s="16">
        <v>9.4</v>
      </c>
      <c r="Y659" s="21">
        <v>18.600000000000001</v>
      </c>
      <c r="Z659" s="20">
        <v>282500</v>
      </c>
      <c r="AA659" s="17">
        <v>143071</v>
      </c>
      <c r="AB659" s="22">
        <v>0.5</v>
      </c>
      <c r="AC659" s="23">
        <f t="shared" si="65"/>
        <v>100</v>
      </c>
      <c r="AD659" s="17">
        <v>1869431</v>
      </c>
      <c r="AE659" s="17">
        <v>536004</v>
      </c>
      <c r="AF659" s="17">
        <v>198000</v>
      </c>
      <c r="AG659" s="17">
        <v>586000</v>
      </c>
      <c r="AH659" s="15" t="s">
        <v>42</v>
      </c>
    </row>
    <row r="660" spans="1:34">
      <c r="A660" s="13" t="str">
        <f t="shared" si="60"/>
        <v>FCST</v>
      </c>
      <c r="B660" s="14" t="s">
        <v>686</v>
      </c>
      <c r="C660" s="15" t="s">
        <v>522</v>
      </c>
      <c r="D660" s="19" t="str">
        <f t="shared" si="61"/>
        <v>前八週無拉料</v>
      </c>
      <c r="E660" s="16">
        <f t="shared" si="62"/>
        <v>37.799999999999997</v>
      </c>
      <c r="F660" s="16" t="str">
        <f t="shared" si="63"/>
        <v>--</v>
      </c>
      <c r="G660" s="16">
        <f t="shared" si="64"/>
        <v>0</v>
      </c>
      <c r="H660" s="24" t="str">
        <f>IFERROR(VLOOKUP(B660,#REF!,8,FALSE),"")</f>
        <v/>
      </c>
      <c r="I660" s="17">
        <v>0</v>
      </c>
      <c r="J660" s="17">
        <v>0</v>
      </c>
      <c r="K660" s="24" t="str">
        <f>IFERROR(VLOOKUP(B660,#REF!,11,FALSE),"")</f>
        <v/>
      </c>
      <c r="L660" s="17">
        <v>10504</v>
      </c>
      <c r="M660" s="6" t="s">
        <v>748</v>
      </c>
      <c r="N660" s="18" t="str">
        <f>IFERROR(VLOOKUP(B660,#REF!,13,FALSE),"")</f>
        <v/>
      </c>
      <c r="O660" s="19" t="str">
        <f>IFERROR(VLOOKUP(B660,#REF!,14,FALSE),"")</f>
        <v/>
      </c>
      <c r="P660" s="19" t="str">
        <f>IFERROR(VLOOKUP(B660,#REF!,15,FALSE),"")</f>
        <v/>
      </c>
      <c r="Q660" s="19"/>
      <c r="R660" s="25" t="str">
        <f>IFERROR(VLOOKUP(B660,#REF!,16,FALSE),"")</f>
        <v/>
      </c>
      <c r="S660" s="17">
        <v>0</v>
      </c>
      <c r="T660" s="17">
        <v>10504</v>
      </c>
      <c r="U660" s="17">
        <v>0</v>
      </c>
      <c r="V660" s="17">
        <v>0</v>
      </c>
      <c r="W660" s="20">
        <v>10504</v>
      </c>
      <c r="X660" s="16" t="s">
        <v>40</v>
      </c>
      <c r="Y660" s="21">
        <v>37.799999999999997</v>
      </c>
      <c r="Z660" s="20">
        <v>0</v>
      </c>
      <c r="AA660" s="17">
        <v>278</v>
      </c>
      <c r="AB660" s="22" t="s">
        <v>51</v>
      </c>
      <c r="AC660" s="23" t="str">
        <f t="shared" si="65"/>
        <v>F</v>
      </c>
      <c r="AD660" s="17">
        <v>0</v>
      </c>
      <c r="AE660" s="17">
        <v>2500</v>
      </c>
      <c r="AF660" s="17">
        <v>0</v>
      </c>
      <c r="AG660" s="17">
        <v>0</v>
      </c>
      <c r="AH660" s="15" t="s">
        <v>42</v>
      </c>
    </row>
    <row r="661" spans="1:34">
      <c r="A661" s="13" t="str">
        <f t="shared" si="60"/>
        <v>Normal</v>
      </c>
      <c r="B661" s="14" t="s">
        <v>687</v>
      </c>
      <c r="C661" s="15" t="s">
        <v>277</v>
      </c>
      <c r="D661" s="19">
        <f t="shared" si="61"/>
        <v>1.1000000000000001</v>
      </c>
      <c r="E661" s="16">
        <f t="shared" si="62"/>
        <v>2.2000000000000002</v>
      </c>
      <c r="F661" s="16">
        <f t="shared" si="63"/>
        <v>2.7</v>
      </c>
      <c r="G661" s="16">
        <f t="shared" si="64"/>
        <v>5.6</v>
      </c>
      <c r="H661" s="24" t="str">
        <f>IFERROR(VLOOKUP(B661,#REF!,8,FALSE),"")</f>
        <v/>
      </c>
      <c r="I661" s="17">
        <v>15000</v>
      </c>
      <c r="J661" s="17">
        <v>15000</v>
      </c>
      <c r="K661" s="24" t="str">
        <f>IFERROR(VLOOKUP(B661,#REF!,11,FALSE),"")</f>
        <v/>
      </c>
      <c r="L661" s="17">
        <v>6000</v>
      </c>
      <c r="M661" s="6" t="s">
        <v>758</v>
      </c>
      <c r="N661" s="18" t="str">
        <f>IFERROR(VLOOKUP(B661,#REF!,13,FALSE),"")</f>
        <v/>
      </c>
      <c r="O661" s="19" t="str">
        <f>IFERROR(VLOOKUP(B661,#REF!,14,FALSE),"")</f>
        <v/>
      </c>
      <c r="P661" s="19" t="str">
        <f>IFERROR(VLOOKUP(B661,#REF!,15,FALSE),"")</f>
        <v/>
      </c>
      <c r="Q661" s="19"/>
      <c r="R661" s="25" t="str">
        <f>IFERROR(VLOOKUP(B661,#REF!,16,FALSE),"")</f>
        <v/>
      </c>
      <c r="S661" s="17">
        <v>0</v>
      </c>
      <c r="T661" s="17">
        <v>6000</v>
      </c>
      <c r="U661" s="17">
        <v>0</v>
      </c>
      <c r="V661" s="17">
        <v>0</v>
      </c>
      <c r="W661" s="20">
        <v>21000</v>
      </c>
      <c r="X661" s="16">
        <v>3.7</v>
      </c>
      <c r="Y661" s="21">
        <v>7.9</v>
      </c>
      <c r="Z661" s="20">
        <v>5625</v>
      </c>
      <c r="AA661" s="17">
        <v>2667</v>
      </c>
      <c r="AB661" s="22">
        <v>0.5</v>
      </c>
      <c r="AC661" s="23">
        <f t="shared" si="65"/>
        <v>100</v>
      </c>
      <c r="AD661" s="17">
        <v>0</v>
      </c>
      <c r="AE661" s="17">
        <v>12000</v>
      </c>
      <c r="AF661" s="17">
        <v>12000</v>
      </c>
      <c r="AG661" s="17">
        <v>0</v>
      </c>
      <c r="AH661" s="15" t="s">
        <v>42</v>
      </c>
    </row>
    <row r="662" spans="1:34">
      <c r="A662" s="13" t="str">
        <f t="shared" si="60"/>
        <v>Normal</v>
      </c>
      <c r="B662" s="14" t="s">
        <v>688</v>
      </c>
      <c r="C662" s="15" t="s">
        <v>277</v>
      </c>
      <c r="D662" s="19">
        <f t="shared" si="61"/>
        <v>11.7</v>
      </c>
      <c r="E662" s="16">
        <f t="shared" si="62"/>
        <v>5.7</v>
      </c>
      <c r="F662" s="16">
        <f t="shared" si="63"/>
        <v>0</v>
      </c>
      <c r="G662" s="16">
        <f t="shared" si="64"/>
        <v>0</v>
      </c>
      <c r="H662" s="24" t="str">
        <f>IFERROR(VLOOKUP(B662,#REF!,8,FALSE),"")</f>
        <v/>
      </c>
      <c r="I662" s="17">
        <v>0</v>
      </c>
      <c r="J662" s="17">
        <v>0</v>
      </c>
      <c r="K662" s="24" t="str">
        <f>IFERROR(VLOOKUP(B662,#REF!,11,FALSE),"")</f>
        <v/>
      </c>
      <c r="L662" s="17">
        <v>57000</v>
      </c>
      <c r="M662" s="6" t="s">
        <v>760</v>
      </c>
      <c r="N662" s="18" t="str">
        <f>IFERROR(VLOOKUP(B662,#REF!,13,FALSE),"")</f>
        <v/>
      </c>
      <c r="O662" s="19" t="str">
        <f>IFERROR(VLOOKUP(B662,#REF!,14,FALSE),"")</f>
        <v/>
      </c>
      <c r="P662" s="19" t="str">
        <f>IFERROR(VLOOKUP(B662,#REF!,15,FALSE),"")</f>
        <v/>
      </c>
      <c r="Q662" s="19"/>
      <c r="R662" s="25" t="str">
        <f>IFERROR(VLOOKUP(B662,#REF!,16,FALSE),"")</f>
        <v/>
      </c>
      <c r="S662" s="17">
        <v>0</v>
      </c>
      <c r="T662" s="17">
        <v>57000</v>
      </c>
      <c r="U662" s="17">
        <v>0</v>
      </c>
      <c r="V662" s="17">
        <v>0</v>
      </c>
      <c r="W662" s="20">
        <v>57000</v>
      </c>
      <c r="X662" s="16">
        <v>11.7</v>
      </c>
      <c r="Y662" s="21">
        <v>5.7</v>
      </c>
      <c r="Z662" s="20">
        <v>4875</v>
      </c>
      <c r="AA662" s="17">
        <v>10000</v>
      </c>
      <c r="AB662" s="22">
        <v>2.1</v>
      </c>
      <c r="AC662" s="23">
        <f t="shared" si="65"/>
        <v>150</v>
      </c>
      <c r="AD662" s="17">
        <v>0</v>
      </c>
      <c r="AE662" s="17">
        <v>84000</v>
      </c>
      <c r="AF662" s="17">
        <v>6000</v>
      </c>
      <c r="AG662" s="17">
        <v>0</v>
      </c>
      <c r="AH662" s="15" t="s">
        <v>42</v>
      </c>
    </row>
    <row r="663" spans="1:34">
      <c r="A663" s="13" t="str">
        <f t="shared" si="60"/>
        <v>Normal</v>
      </c>
      <c r="B663" s="14" t="s">
        <v>689</v>
      </c>
      <c r="C663" s="15" t="s">
        <v>277</v>
      </c>
      <c r="D663" s="19">
        <f t="shared" si="61"/>
        <v>4.9000000000000004</v>
      </c>
      <c r="E663" s="16">
        <f t="shared" si="62"/>
        <v>19.8</v>
      </c>
      <c r="F663" s="16">
        <f t="shared" si="63"/>
        <v>6.2</v>
      </c>
      <c r="G663" s="16">
        <f t="shared" si="64"/>
        <v>25.4</v>
      </c>
      <c r="H663" s="24" t="str">
        <f>IFERROR(VLOOKUP(B663,#REF!,8,FALSE),"")</f>
        <v/>
      </c>
      <c r="I663" s="17">
        <v>573000</v>
      </c>
      <c r="J663" s="17">
        <v>342000</v>
      </c>
      <c r="K663" s="24" t="str">
        <f>IFERROR(VLOOKUP(B663,#REF!,11,FALSE),"")</f>
        <v/>
      </c>
      <c r="L663" s="17">
        <v>447000</v>
      </c>
      <c r="M663" s="6" t="s">
        <v>752</v>
      </c>
      <c r="N663" s="18" t="str">
        <f>IFERROR(VLOOKUP(B663,#REF!,13,FALSE),"")</f>
        <v/>
      </c>
      <c r="O663" s="19" t="str">
        <f>IFERROR(VLOOKUP(B663,#REF!,14,FALSE),"")</f>
        <v/>
      </c>
      <c r="P663" s="19" t="str">
        <f>IFERROR(VLOOKUP(B663,#REF!,15,FALSE),"")</f>
        <v/>
      </c>
      <c r="Q663" s="19"/>
      <c r="R663" s="25" t="str">
        <f>IFERROR(VLOOKUP(B663,#REF!,16,FALSE),"")</f>
        <v/>
      </c>
      <c r="S663" s="17">
        <v>0</v>
      </c>
      <c r="T663" s="17">
        <v>102000</v>
      </c>
      <c r="U663" s="17">
        <v>345000</v>
      </c>
      <c r="V663" s="17">
        <v>0</v>
      </c>
      <c r="W663" s="20">
        <v>1020000</v>
      </c>
      <c r="X663" s="16">
        <v>11.1</v>
      </c>
      <c r="Y663" s="21">
        <v>45.2</v>
      </c>
      <c r="Z663" s="20">
        <v>91875</v>
      </c>
      <c r="AA663" s="17">
        <v>22565</v>
      </c>
      <c r="AB663" s="22">
        <v>0.2</v>
      </c>
      <c r="AC663" s="23">
        <f t="shared" si="65"/>
        <v>50</v>
      </c>
      <c r="AD663" s="17">
        <v>68147</v>
      </c>
      <c r="AE663" s="17">
        <v>106301</v>
      </c>
      <c r="AF663" s="17">
        <v>96742</v>
      </c>
      <c r="AG663" s="17">
        <v>104658</v>
      </c>
      <c r="AH663" s="15" t="s">
        <v>42</v>
      </c>
    </row>
    <row r="664" spans="1:34">
      <c r="A664" s="13" t="str">
        <f t="shared" si="60"/>
        <v>Normal</v>
      </c>
      <c r="B664" s="14" t="s">
        <v>690</v>
      </c>
      <c r="C664" s="15" t="s">
        <v>277</v>
      </c>
      <c r="D664" s="19">
        <f t="shared" si="61"/>
        <v>0</v>
      </c>
      <c r="E664" s="16">
        <f t="shared" si="62"/>
        <v>0</v>
      </c>
      <c r="F664" s="16">
        <f t="shared" si="63"/>
        <v>5.8</v>
      </c>
      <c r="G664" s="16">
        <f t="shared" si="64"/>
        <v>6</v>
      </c>
      <c r="H664" s="24" t="str">
        <f>IFERROR(VLOOKUP(B664,#REF!,8,FALSE),"")</f>
        <v/>
      </c>
      <c r="I664" s="17">
        <v>24000</v>
      </c>
      <c r="J664" s="17">
        <v>12000</v>
      </c>
      <c r="K664" s="24" t="str">
        <f>IFERROR(VLOOKUP(B664,#REF!,11,FALSE),"")</f>
        <v/>
      </c>
      <c r="L664" s="17">
        <v>0</v>
      </c>
      <c r="M664" s="6" t="s">
        <v>751</v>
      </c>
      <c r="N664" s="18" t="str">
        <f>IFERROR(VLOOKUP(B664,#REF!,13,FALSE),"")</f>
        <v/>
      </c>
      <c r="O664" s="19" t="str">
        <f>IFERROR(VLOOKUP(B664,#REF!,14,FALSE),"")</f>
        <v/>
      </c>
      <c r="P664" s="19" t="str">
        <f>IFERROR(VLOOKUP(B664,#REF!,15,FALSE),"")</f>
        <v/>
      </c>
      <c r="Q664" s="19"/>
      <c r="R664" s="25" t="str">
        <f>IFERROR(VLOOKUP(B664,#REF!,16,FALSE),"")</f>
        <v/>
      </c>
      <c r="S664" s="17">
        <v>0</v>
      </c>
      <c r="T664" s="17">
        <v>0</v>
      </c>
      <c r="U664" s="17">
        <v>0</v>
      </c>
      <c r="V664" s="17">
        <v>0</v>
      </c>
      <c r="W664" s="20">
        <v>24000</v>
      </c>
      <c r="X664" s="16">
        <v>5.8</v>
      </c>
      <c r="Y664" s="21">
        <v>6</v>
      </c>
      <c r="Z664" s="20">
        <v>4125</v>
      </c>
      <c r="AA664" s="17">
        <v>4000</v>
      </c>
      <c r="AB664" s="22">
        <v>1</v>
      </c>
      <c r="AC664" s="23">
        <f t="shared" si="65"/>
        <v>100</v>
      </c>
      <c r="AD664" s="17">
        <v>0</v>
      </c>
      <c r="AE664" s="17">
        <v>18000</v>
      </c>
      <c r="AF664" s="17">
        <v>18000</v>
      </c>
      <c r="AG664" s="17">
        <v>0</v>
      </c>
      <c r="AH664" s="15" t="s">
        <v>42</v>
      </c>
    </row>
    <row r="665" spans="1:34">
      <c r="A665" s="13" t="str">
        <f t="shared" si="60"/>
        <v>Normal</v>
      </c>
      <c r="B665" s="14" t="s">
        <v>691</v>
      </c>
      <c r="C665" s="15" t="s">
        <v>277</v>
      </c>
      <c r="D665" s="19">
        <f t="shared" si="61"/>
        <v>0</v>
      </c>
      <c r="E665" s="16" t="str">
        <f t="shared" si="62"/>
        <v>--</v>
      </c>
      <c r="F665" s="16">
        <f t="shared" si="63"/>
        <v>5.5</v>
      </c>
      <c r="G665" s="16" t="str">
        <f t="shared" si="64"/>
        <v>--</v>
      </c>
      <c r="H665" s="24" t="str">
        <f>IFERROR(VLOOKUP(B665,#REF!,8,FALSE),"")</f>
        <v/>
      </c>
      <c r="I665" s="17">
        <v>33000</v>
      </c>
      <c r="J665" s="17">
        <v>33000</v>
      </c>
      <c r="K665" s="24" t="str">
        <f>IFERROR(VLOOKUP(B665,#REF!,11,FALSE),"")</f>
        <v/>
      </c>
      <c r="L665" s="17">
        <v>0</v>
      </c>
      <c r="M665" s="6" t="s">
        <v>752</v>
      </c>
      <c r="N665" s="18" t="str">
        <f>IFERROR(VLOOKUP(B665,#REF!,13,FALSE),"")</f>
        <v/>
      </c>
      <c r="O665" s="19" t="str">
        <f>IFERROR(VLOOKUP(B665,#REF!,14,FALSE),"")</f>
        <v/>
      </c>
      <c r="P665" s="19" t="str">
        <f>IFERROR(VLOOKUP(B665,#REF!,15,FALSE),"")</f>
        <v/>
      </c>
      <c r="Q665" s="19"/>
      <c r="R665" s="25" t="str">
        <f>IFERROR(VLOOKUP(B665,#REF!,16,FALSE),"")</f>
        <v/>
      </c>
      <c r="S665" s="17">
        <v>0</v>
      </c>
      <c r="T665" s="17">
        <v>0</v>
      </c>
      <c r="U665" s="17">
        <v>0</v>
      </c>
      <c r="V665" s="17">
        <v>0</v>
      </c>
      <c r="W665" s="20">
        <v>33000</v>
      </c>
      <c r="X665" s="16">
        <v>5.5</v>
      </c>
      <c r="Y665" s="21" t="s">
        <v>40</v>
      </c>
      <c r="Z665" s="20">
        <v>6000</v>
      </c>
      <c r="AA665" s="17" t="s">
        <v>40</v>
      </c>
      <c r="AB665" s="22" t="s">
        <v>41</v>
      </c>
      <c r="AC665" s="23" t="str">
        <f t="shared" si="65"/>
        <v>E</v>
      </c>
      <c r="AD665" s="17">
        <v>0</v>
      </c>
      <c r="AE665" s="17">
        <v>0</v>
      </c>
      <c r="AF665" s="17">
        <v>0</v>
      </c>
      <c r="AG665" s="17">
        <v>0</v>
      </c>
      <c r="AH665" s="15" t="s">
        <v>42</v>
      </c>
    </row>
    <row r="666" spans="1:34">
      <c r="A666" s="13" t="str">
        <f t="shared" si="60"/>
        <v>OverStock</v>
      </c>
      <c r="B666" s="14" t="s">
        <v>692</v>
      </c>
      <c r="C666" s="15" t="s">
        <v>277</v>
      </c>
      <c r="D666" s="19">
        <f t="shared" si="61"/>
        <v>0</v>
      </c>
      <c r="E666" s="16">
        <f t="shared" si="62"/>
        <v>0</v>
      </c>
      <c r="F666" s="16">
        <f t="shared" si="63"/>
        <v>36.200000000000003</v>
      </c>
      <c r="G666" s="16">
        <f t="shared" si="64"/>
        <v>1038.9000000000001</v>
      </c>
      <c r="H666" s="24" t="str">
        <f>IFERROR(VLOOKUP(B666,#REF!,8,FALSE),"")</f>
        <v/>
      </c>
      <c r="I666" s="17">
        <v>28395000</v>
      </c>
      <c r="J666" s="17">
        <v>147000</v>
      </c>
      <c r="K666" s="24" t="str">
        <f>IFERROR(VLOOKUP(B666,#REF!,11,FALSE),"")</f>
        <v/>
      </c>
      <c r="L666" s="17">
        <v>0</v>
      </c>
      <c r="M666" s="6" t="s">
        <v>751</v>
      </c>
      <c r="N666" s="18" t="str">
        <f>IFERROR(VLOOKUP(B666,#REF!,13,FALSE),"")</f>
        <v/>
      </c>
      <c r="O666" s="19" t="str">
        <f>IFERROR(VLOOKUP(B666,#REF!,14,FALSE),"")</f>
        <v/>
      </c>
      <c r="P666" s="19" t="str">
        <f>IFERROR(VLOOKUP(B666,#REF!,15,FALSE),"")</f>
        <v/>
      </c>
      <c r="Q666" s="19"/>
      <c r="R666" s="25" t="str">
        <f>IFERROR(VLOOKUP(B666,#REF!,16,FALSE),"")</f>
        <v/>
      </c>
      <c r="S666" s="17">
        <v>0</v>
      </c>
      <c r="T666" s="17">
        <v>0</v>
      </c>
      <c r="U666" s="17">
        <v>0</v>
      </c>
      <c r="V666" s="17">
        <v>0</v>
      </c>
      <c r="W666" s="20">
        <v>28395000</v>
      </c>
      <c r="X666" s="16">
        <v>36.200000000000003</v>
      </c>
      <c r="Y666" s="21">
        <v>1038.9000000000001</v>
      </c>
      <c r="Z666" s="20">
        <v>784875</v>
      </c>
      <c r="AA666" s="17">
        <v>27333</v>
      </c>
      <c r="AB666" s="22">
        <v>0</v>
      </c>
      <c r="AC666" s="23">
        <f t="shared" si="65"/>
        <v>50</v>
      </c>
      <c r="AD666" s="17">
        <v>228000</v>
      </c>
      <c r="AE666" s="17">
        <v>18000</v>
      </c>
      <c r="AF666" s="17">
        <v>0</v>
      </c>
      <c r="AG666" s="17">
        <v>0</v>
      </c>
      <c r="AH666" s="15" t="s">
        <v>42</v>
      </c>
    </row>
    <row r="667" spans="1:34">
      <c r="A667" s="13" t="str">
        <f t="shared" si="60"/>
        <v>Normal</v>
      </c>
      <c r="B667" s="14" t="s">
        <v>694</v>
      </c>
      <c r="C667" s="15" t="s">
        <v>277</v>
      </c>
      <c r="D667" s="19">
        <f t="shared" si="61"/>
        <v>1</v>
      </c>
      <c r="E667" s="16">
        <f t="shared" si="62"/>
        <v>8</v>
      </c>
      <c r="F667" s="16">
        <f t="shared" si="63"/>
        <v>2.7</v>
      </c>
      <c r="G667" s="16">
        <f t="shared" si="64"/>
        <v>22.8</v>
      </c>
      <c r="H667" s="24" t="str">
        <f>IFERROR(VLOOKUP(B667,#REF!,8,FALSE),"")</f>
        <v/>
      </c>
      <c r="I667" s="17">
        <v>162000</v>
      </c>
      <c r="J667" s="17">
        <v>162000</v>
      </c>
      <c r="K667" s="24" t="str">
        <f>IFERROR(VLOOKUP(B667,#REF!,11,FALSE),"")</f>
        <v/>
      </c>
      <c r="L667" s="17">
        <v>57000</v>
      </c>
      <c r="M667" s="6" t="s">
        <v>751</v>
      </c>
      <c r="N667" s="18" t="str">
        <f>IFERROR(VLOOKUP(B667,#REF!,13,FALSE),"")</f>
        <v/>
      </c>
      <c r="O667" s="19" t="str">
        <f>IFERROR(VLOOKUP(B667,#REF!,14,FALSE),"")</f>
        <v/>
      </c>
      <c r="P667" s="19" t="str">
        <f>IFERROR(VLOOKUP(B667,#REF!,15,FALSE),"")</f>
        <v/>
      </c>
      <c r="Q667" s="19"/>
      <c r="R667" s="25" t="str">
        <f>IFERROR(VLOOKUP(B667,#REF!,16,FALSE),"")</f>
        <v/>
      </c>
      <c r="S667" s="17">
        <v>0</v>
      </c>
      <c r="T667" s="17">
        <v>57000</v>
      </c>
      <c r="U667" s="17">
        <v>0</v>
      </c>
      <c r="V667" s="17">
        <v>0</v>
      </c>
      <c r="W667" s="20">
        <v>219000</v>
      </c>
      <c r="X667" s="16">
        <v>3.7</v>
      </c>
      <c r="Y667" s="21">
        <v>30.8</v>
      </c>
      <c r="Z667" s="20">
        <v>59250</v>
      </c>
      <c r="AA667" s="17">
        <v>7111</v>
      </c>
      <c r="AB667" s="22">
        <v>0.1</v>
      </c>
      <c r="AC667" s="23">
        <f t="shared" si="65"/>
        <v>50</v>
      </c>
      <c r="AD667" s="17">
        <v>0</v>
      </c>
      <c r="AE667" s="17">
        <v>33000</v>
      </c>
      <c r="AF667" s="17">
        <v>31000</v>
      </c>
      <c r="AG667" s="17">
        <v>30000</v>
      </c>
      <c r="AH667" s="15" t="s">
        <v>42</v>
      </c>
    </row>
    <row r="668" spans="1:34">
      <c r="A668" s="13" t="str">
        <f t="shared" si="60"/>
        <v>OverStock</v>
      </c>
      <c r="B668" s="14" t="s">
        <v>695</v>
      </c>
      <c r="C668" s="15" t="s">
        <v>277</v>
      </c>
      <c r="D668" s="19">
        <f t="shared" si="61"/>
        <v>0</v>
      </c>
      <c r="E668" s="16">
        <f t="shared" si="62"/>
        <v>0</v>
      </c>
      <c r="F668" s="16">
        <f t="shared" si="63"/>
        <v>24.4</v>
      </c>
      <c r="G668" s="16">
        <f t="shared" si="64"/>
        <v>16.8</v>
      </c>
      <c r="H668" s="24" t="str">
        <f>IFERROR(VLOOKUP(B668,#REF!,8,FALSE),"")</f>
        <v/>
      </c>
      <c r="I668" s="17">
        <v>6380000</v>
      </c>
      <c r="J668" s="17">
        <v>5180000</v>
      </c>
      <c r="K668" s="24" t="str">
        <f>IFERROR(VLOOKUP(B668,#REF!,11,FALSE),"")</f>
        <v/>
      </c>
      <c r="L668" s="17">
        <v>3000</v>
      </c>
      <c r="M668" s="6" t="s">
        <v>760</v>
      </c>
      <c r="N668" s="18" t="str">
        <f>IFERROR(VLOOKUP(B668,#REF!,13,FALSE),"")</f>
        <v/>
      </c>
      <c r="O668" s="19" t="str">
        <f>IFERROR(VLOOKUP(B668,#REF!,14,FALSE),"")</f>
        <v/>
      </c>
      <c r="P668" s="19" t="str">
        <f>IFERROR(VLOOKUP(B668,#REF!,15,FALSE),"")</f>
        <v/>
      </c>
      <c r="Q668" s="19"/>
      <c r="R668" s="25" t="str">
        <f>IFERROR(VLOOKUP(B668,#REF!,16,FALSE),"")</f>
        <v/>
      </c>
      <c r="S668" s="17">
        <v>0</v>
      </c>
      <c r="T668" s="17">
        <v>3000</v>
      </c>
      <c r="U668" s="17">
        <v>0</v>
      </c>
      <c r="V668" s="17">
        <v>0</v>
      </c>
      <c r="W668" s="20">
        <v>6383000</v>
      </c>
      <c r="X668" s="16">
        <v>24.4</v>
      </c>
      <c r="Y668" s="21">
        <v>16.8</v>
      </c>
      <c r="Z668" s="20">
        <v>261250</v>
      </c>
      <c r="AA668" s="17">
        <v>379301</v>
      </c>
      <c r="AB668" s="22">
        <v>1.5</v>
      </c>
      <c r="AC668" s="23">
        <f t="shared" si="65"/>
        <v>100</v>
      </c>
      <c r="AD668" s="17">
        <v>48695</v>
      </c>
      <c r="AE668" s="17">
        <v>1855290</v>
      </c>
      <c r="AF668" s="17">
        <v>1509721</v>
      </c>
      <c r="AG668" s="17">
        <v>149505</v>
      </c>
      <c r="AH668" s="15" t="s">
        <v>42</v>
      </c>
    </row>
    <row r="669" spans="1:34">
      <c r="A669" s="13" t="str">
        <f t="shared" si="60"/>
        <v>ZeroZero</v>
      </c>
      <c r="B669" s="14" t="s">
        <v>696</v>
      </c>
      <c r="C669" s="15" t="s">
        <v>277</v>
      </c>
      <c r="D669" s="19" t="str">
        <f t="shared" si="61"/>
        <v>前八週無拉料</v>
      </c>
      <c r="E669" s="16" t="str">
        <f t="shared" si="62"/>
        <v>--</v>
      </c>
      <c r="F669" s="16" t="str">
        <f t="shared" si="63"/>
        <v>--</v>
      </c>
      <c r="G669" s="16" t="str">
        <f t="shared" si="64"/>
        <v>--</v>
      </c>
      <c r="H669" s="24" t="str">
        <f>IFERROR(VLOOKUP(B669,#REF!,8,FALSE),"")</f>
        <v/>
      </c>
      <c r="I669" s="17">
        <v>1200000</v>
      </c>
      <c r="J669" s="17">
        <v>0</v>
      </c>
      <c r="K669" s="24" t="str">
        <f>IFERROR(VLOOKUP(B669,#REF!,11,FALSE),"")</f>
        <v/>
      </c>
      <c r="L669" s="17">
        <v>0</v>
      </c>
      <c r="M669" s="6" t="s">
        <v>752</v>
      </c>
      <c r="N669" s="18" t="str">
        <f>IFERROR(VLOOKUP(B669,#REF!,13,FALSE),"")</f>
        <v/>
      </c>
      <c r="O669" s="19" t="str">
        <f>IFERROR(VLOOKUP(B669,#REF!,14,FALSE),"")</f>
        <v/>
      </c>
      <c r="P669" s="19" t="str">
        <f>IFERROR(VLOOKUP(B669,#REF!,15,FALSE),"")</f>
        <v/>
      </c>
      <c r="Q669" s="19"/>
      <c r="R669" s="25" t="str">
        <f>IFERROR(VLOOKUP(B669,#REF!,16,FALSE),"")</f>
        <v/>
      </c>
      <c r="S669" s="17">
        <v>0</v>
      </c>
      <c r="T669" s="17">
        <v>0</v>
      </c>
      <c r="U669" s="17">
        <v>0</v>
      </c>
      <c r="V669" s="17">
        <v>0</v>
      </c>
      <c r="W669" s="20">
        <v>1200000</v>
      </c>
      <c r="X669" s="16" t="s">
        <v>40</v>
      </c>
      <c r="Y669" s="21" t="s">
        <v>40</v>
      </c>
      <c r="Z669" s="20">
        <v>0</v>
      </c>
      <c r="AA669" s="17" t="s">
        <v>40</v>
      </c>
      <c r="AB669" s="22" t="s">
        <v>41</v>
      </c>
      <c r="AC669" s="23" t="str">
        <f t="shared" si="65"/>
        <v>E</v>
      </c>
      <c r="AD669" s="17">
        <v>0</v>
      </c>
      <c r="AE669" s="17">
        <v>0</v>
      </c>
      <c r="AF669" s="17">
        <v>0</v>
      </c>
      <c r="AG669" s="17">
        <v>0</v>
      </c>
      <c r="AH669" s="15" t="s">
        <v>42</v>
      </c>
    </row>
    <row r="670" spans="1:34">
      <c r="A670" s="13" t="str">
        <f t="shared" si="60"/>
        <v>Normal</v>
      </c>
      <c r="B670" s="14" t="s">
        <v>697</v>
      </c>
      <c r="C670" s="15" t="s">
        <v>277</v>
      </c>
      <c r="D670" s="19">
        <f t="shared" si="61"/>
        <v>3.3</v>
      </c>
      <c r="E670" s="16">
        <f t="shared" si="62"/>
        <v>2.2000000000000002</v>
      </c>
      <c r="F670" s="16">
        <f t="shared" si="63"/>
        <v>8.5</v>
      </c>
      <c r="G670" s="16">
        <f t="shared" si="64"/>
        <v>5.7</v>
      </c>
      <c r="H670" s="24" t="str">
        <f>IFERROR(VLOOKUP(B670,#REF!,8,FALSE),"")</f>
        <v/>
      </c>
      <c r="I670" s="17">
        <v>6900000</v>
      </c>
      <c r="J670" s="17">
        <v>3900000</v>
      </c>
      <c r="K670" s="24" t="str">
        <f>IFERROR(VLOOKUP(B670,#REF!,11,FALSE),"")</f>
        <v/>
      </c>
      <c r="L670" s="17">
        <v>2700000</v>
      </c>
      <c r="M670" s="6" t="s">
        <v>752</v>
      </c>
      <c r="N670" s="18" t="str">
        <f>IFERROR(VLOOKUP(B670,#REF!,13,FALSE),"")</f>
        <v/>
      </c>
      <c r="O670" s="19" t="str">
        <f>IFERROR(VLOOKUP(B670,#REF!,14,FALSE),"")</f>
        <v/>
      </c>
      <c r="P670" s="19" t="str">
        <f>IFERROR(VLOOKUP(B670,#REF!,15,FALSE),"")</f>
        <v/>
      </c>
      <c r="Q670" s="19"/>
      <c r="R670" s="25" t="str">
        <f>IFERROR(VLOOKUP(B670,#REF!,16,FALSE),"")</f>
        <v/>
      </c>
      <c r="S670" s="17">
        <v>0</v>
      </c>
      <c r="T670" s="17">
        <v>2700000</v>
      </c>
      <c r="U670" s="17">
        <v>0</v>
      </c>
      <c r="V670" s="17">
        <v>0</v>
      </c>
      <c r="W670" s="20">
        <v>9600000</v>
      </c>
      <c r="X670" s="16">
        <v>11.8</v>
      </c>
      <c r="Y670" s="21">
        <v>7.9</v>
      </c>
      <c r="Z670" s="20">
        <v>813750</v>
      </c>
      <c r="AA670" s="17">
        <v>1220026</v>
      </c>
      <c r="AB670" s="22">
        <v>1.5</v>
      </c>
      <c r="AC670" s="23">
        <f t="shared" si="65"/>
        <v>100</v>
      </c>
      <c r="AD670" s="17">
        <v>1707370</v>
      </c>
      <c r="AE670" s="17">
        <v>5625967</v>
      </c>
      <c r="AF670" s="17">
        <v>3646899</v>
      </c>
      <c r="AG670" s="17">
        <v>492949</v>
      </c>
      <c r="AH670" s="15" t="s">
        <v>42</v>
      </c>
    </row>
    <row r="671" spans="1:34">
      <c r="A671" s="13" t="str">
        <f t="shared" si="60"/>
        <v>Normal</v>
      </c>
      <c r="B671" s="14" t="s">
        <v>699</v>
      </c>
      <c r="C671" s="15" t="s">
        <v>277</v>
      </c>
      <c r="D671" s="19">
        <f t="shared" si="61"/>
        <v>4.5999999999999996</v>
      </c>
      <c r="E671" s="16">
        <f t="shared" si="62"/>
        <v>15.8</v>
      </c>
      <c r="F671" s="16">
        <f t="shared" si="63"/>
        <v>8</v>
      </c>
      <c r="G671" s="16">
        <f t="shared" si="64"/>
        <v>27.4</v>
      </c>
      <c r="H671" s="24" t="str">
        <f>IFERROR(VLOOKUP(B671,#REF!,8,FALSE),"")</f>
        <v/>
      </c>
      <c r="I671" s="17">
        <v>3600000</v>
      </c>
      <c r="J671" s="17">
        <v>3150000</v>
      </c>
      <c r="K671" s="24" t="str">
        <f>IFERROR(VLOOKUP(B671,#REF!,11,FALSE),"")</f>
        <v/>
      </c>
      <c r="L671" s="17">
        <v>2069900</v>
      </c>
      <c r="M671" s="6" t="s">
        <v>774</v>
      </c>
      <c r="N671" s="18" t="str">
        <f>IFERROR(VLOOKUP(B671,#REF!,13,FALSE),"")</f>
        <v/>
      </c>
      <c r="O671" s="19" t="str">
        <f>IFERROR(VLOOKUP(B671,#REF!,14,FALSE),"")</f>
        <v/>
      </c>
      <c r="P671" s="19" t="str">
        <f>IFERROR(VLOOKUP(B671,#REF!,15,FALSE),"")</f>
        <v/>
      </c>
      <c r="Q671" s="19"/>
      <c r="R671" s="25" t="str">
        <f>IFERROR(VLOOKUP(B671,#REF!,16,FALSE),"")</f>
        <v/>
      </c>
      <c r="S671" s="17">
        <v>261000</v>
      </c>
      <c r="T671" s="17">
        <v>812900</v>
      </c>
      <c r="U671" s="17">
        <v>996000</v>
      </c>
      <c r="V671" s="17">
        <v>0</v>
      </c>
      <c r="W671" s="20">
        <v>5669900</v>
      </c>
      <c r="X671" s="16">
        <v>12.6</v>
      </c>
      <c r="Y671" s="21">
        <v>43.1</v>
      </c>
      <c r="Z671" s="20">
        <v>451125</v>
      </c>
      <c r="AA671" s="17">
        <v>131413</v>
      </c>
      <c r="AB671" s="22">
        <v>0.3</v>
      </c>
      <c r="AC671" s="23">
        <f t="shared" si="65"/>
        <v>50</v>
      </c>
      <c r="AD671" s="17">
        <v>881374</v>
      </c>
      <c r="AE671" s="17">
        <v>940751</v>
      </c>
      <c r="AF671" s="17">
        <v>241855</v>
      </c>
      <c r="AG671" s="17">
        <v>261646</v>
      </c>
      <c r="AH671" s="15" t="s">
        <v>42</v>
      </c>
    </row>
    <row r="672" spans="1:34">
      <c r="A672" s="13" t="str">
        <f t="shared" si="60"/>
        <v>Normal</v>
      </c>
      <c r="B672" s="14" t="s">
        <v>701</v>
      </c>
      <c r="C672" s="15" t="s">
        <v>277</v>
      </c>
      <c r="D672" s="19">
        <f t="shared" si="61"/>
        <v>0.5</v>
      </c>
      <c r="E672" s="16">
        <f t="shared" si="62"/>
        <v>1.1000000000000001</v>
      </c>
      <c r="F672" s="16">
        <f t="shared" si="63"/>
        <v>7.6</v>
      </c>
      <c r="G672" s="16">
        <f t="shared" si="64"/>
        <v>18.7</v>
      </c>
      <c r="H672" s="24" t="str">
        <f>IFERROR(VLOOKUP(B672,#REF!,8,FALSE),"")</f>
        <v/>
      </c>
      <c r="I672" s="17">
        <v>1467000</v>
      </c>
      <c r="J672" s="17">
        <v>1167000</v>
      </c>
      <c r="K672" s="24" t="str">
        <f>IFERROR(VLOOKUP(B672,#REF!,11,FALSE),"")</f>
        <v/>
      </c>
      <c r="L672" s="17">
        <v>90000</v>
      </c>
      <c r="M672" s="6" t="s">
        <v>763</v>
      </c>
      <c r="N672" s="18" t="str">
        <f>IFERROR(VLOOKUP(B672,#REF!,13,FALSE),"")</f>
        <v/>
      </c>
      <c r="O672" s="19" t="str">
        <f>IFERROR(VLOOKUP(B672,#REF!,14,FALSE),"")</f>
        <v/>
      </c>
      <c r="P672" s="19" t="str">
        <f>IFERROR(VLOOKUP(B672,#REF!,15,FALSE),"")</f>
        <v/>
      </c>
      <c r="Q672" s="19"/>
      <c r="R672" s="25" t="str">
        <f>IFERROR(VLOOKUP(B672,#REF!,16,FALSE),"")</f>
        <v/>
      </c>
      <c r="S672" s="17">
        <v>0</v>
      </c>
      <c r="T672" s="17">
        <v>0</v>
      </c>
      <c r="U672" s="17">
        <v>90000</v>
      </c>
      <c r="V672" s="17">
        <v>0</v>
      </c>
      <c r="W672" s="20">
        <v>1557000</v>
      </c>
      <c r="X672" s="16">
        <v>8</v>
      </c>
      <c r="Y672" s="21">
        <v>19.899999999999999</v>
      </c>
      <c r="Z672" s="20">
        <v>193875</v>
      </c>
      <c r="AA672" s="17">
        <v>78382</v>
      </c>
      <c r="AB672" s="22">
        <v>0.4</v>
      </c>
      <c r="AC672" s="23">
        <f t="shared" si="65"/>
        <v>50</v>
      </c>
      <c r="AD672" s="17">
        <v>393400</v>
      </c>
      <c r="AE672" s="17">
        <v>248040</v>
      </c>
      <c r="AF672" s="17">
        <v>64000</v>
      </c>
      <c r="AG672" s="17">
        <v>42000</v>
      </c>
      <c r="AH672" s="15" t="s">
        <v>42</v>
      </c>
    </row>
    <row r="673" spans="1:34">
      <c r="A673" s="13" t="str">
        <f t="shared" si="60"/>
        <v>ZeroZero</v>
      </c>
      <c r="B673" s="14" t="s">
        <v>702</v>
      </c>
      <c r="C673" s="15" t="s">
        <v>277</v>
      </c>
      <c r="D673" s="19" t="str">
        <f t="shared" si="61"/>
        <v>前八週無拉料</v>
      </c>
      <c r="E673" s="16" t="str">
        <f t="shared" si="62"/>
        <v>--</v>
      </c>
      <c r="F673" s="16" t="str">
        <f t="shared" si="63"/>
        <v>--</v>
      </c>
      <c r="G673" s="16" t="str">
        <f t="shared" si="64"/>
        <v>--</v>
      </c>
      <c r="H673" s="24" t="str">
        <f>IFERROR(VLOOKUP(B673,#REF!,8,FALSE),"")</f>
        <v/>
      </c>
      <c r="I673" s="17">
        <v>120000</v>
      </c>
      <c r="J673" s="17">
        <v>0</v>
      </c>
      <c r="K673" s="24" t="str">
        <f>IFERROR(VLOOKUP(B673,#REF!,11,FALSE),"")</f>
        <v/>
      </c>
      <c r="L673" s="17">
        <v>70000</v>
      </c>
      <c r="M673" s="6" t="s">
        <v>752</v>
      </c>
      <c r="N673" s="18" t="str">
        <f>IFERROR(VLOOKUP(B673,#REF!,13,FALSE),"")</f>
        <v/>
      </c>
      <c r="O673" s="19" t="str">
        <f>IFERROR(VLOOKUP(B673,#REF!,14,FALSE),"")</f>
        <v/>
      </c>
      <c r="P673" s="19" t="str">
        <f>IFERROR(VLOOKUP(B673,#REF!,15,FALSE),"")</f>
        <v/>
      </c>
      <c r="Q673" s="19"/>
      <c r="R673" s="25" t="str">
        <f>IFERROR(VLOOKUP(B673,#REF!,16,FALSE),"")</f>
        <v/>
      </c>
      <c r="S673" s="17">
        <v>0</v>
      </c>
      <c r="T673" s="17">
        <v>70000</v>
      </c>
      <c r="U673" s="17">
        <v>0</v>
      </c>
      <c r="V673" s="17">
        <v>0</v>
      </c>
      <c r="W673" s="20">
        <v>190000</v>
      </c>
      <c r="X673" s="16" t="s">
        <v>40</v>
      </c>
      <c r="Y673" s="21" t="s">
        <v>40</v>
      </c>
      <c r="Z673" s="20">
        <v>0</v>
      </c>
      <c r="AA673" s="17" t="s">
        <v>40</v>
      </c>
      <c r="AB673" s="22" t="s">
        <v>41</v>
      </c>
      <c r="AC673" s="23" t="str">
        <f t="shared" si="65"/>
        <v>E</v>
      </c>
      <c r="AD673" s="17">
        <v>0</v>
      </c>
      <c r="AE673" s="17">
        <v>0</v>
      </c>
      <c r="AF673" s="17">
        <v>0</v>
      </c>
      <c r="AG673" s="17">
        <v>0</v>
      </c>
      <c r="AH673" s="15" t="s">
        <v>42</v>
      </c>
    </row>
    <row r="674" spans="1:34">
      <c r="A674" s="13" t="str">
        <f t="shared" si="60"/>
        <v>Normal</v>
      </c>
      <c r="B674" s="14" t="s">
        <v>705</v>
      </c>
      <c r="C674" s="15" t="s">
        <v>277</v>
      </c>
      <c r="D674" s="19">
        <f t="shared" si="61"/>
        <v>8</v>
      </c>
      <c r="E674" s="16">
        <f t="shared" si="62"/>
        <v>9</v>
      </c>
      <c r="F674" s="16">
        <f t="shared" si="63"/>
        <v>0</v>
      </c>
      <c r="G674" s="16">
        <f t="shared" si="64"/>
        <v>0</v>
      </c>
      <c r="H674" s="24" t="str">
        <f>IFERROR(VLOOKUP(B674,#REF!,8,FALSE),"")</f>
        <v/>
      </c>
      <c r="I674" s="17">
        <v>0</v>
      </c>
      <c r="J674" s="17">
        <v>0</v>
      </c>
      <c r="K674" s="24" t="str">
        <f>IFERROR(VLOOKUP(B674,#REF!,11,FALSE),"")</f>
        <v/>
      </c>
      <c r="L674" s="17">
        <v>10000</v>
      </c>
      <c r="M674" s="6" t="s">
        <v>760</v>
      </c>
      <c r="N674" s="18" t="str">
        <f>IFERROR(VLOOKUP(B674,#REF!,13,FALSE),"")</f>
        <v/>
      </c>
      <c r="O674" s="19" t="str">
        <f>IFERROR(VLOOKUP(B674,#REF!,14,FALSE),"")</f>
        <v/>
      </c>
      <c r="P674" s="19" t="str">
        <f>IFERROR(VLOOKUP(B674,#REF!,15,FALSE),"")</f>
        <v/>
      </c>
      <c r="Q674" s="19"/>
      <c r="R674" s="25" t="str">
        <f>IFERROR(VLOOKUP(B674,#REF!,16,FALSE),"")</f>
        <v/>
      </c>
      <c r="S674" s="17">
        <v>0</v>
      </c>
      <c r="T674" s="17">
        <v>10000</v>
      </c>
      <c r="U674" s="17">
        <v>0</v>
      </c>
      <c r="V674" s="17">
        <v>0</v>
      </c>
      <c r="W674" s="20">
        <v>10000</v>
      </c>
      <c r="X674" s="16">
        <v>8</v>
      </c>
      <c r="Y674" s="21">
        <v>9</v>
      </c>
      <c r="Z674" s="20">
        <v>1250</v>
      </c>
      <c r="AA674" s="17">
        <v>1111</v>
      </c>
      <c r="AB674" s="22">
        <v>0.9</v>
      </c>
      <c r="AC674" s="23">
        <f t="shared" si="65"/>
        <v>100</v>
      </c>
      <c r="AD674" s="17">
        <v>10000</v>
      </c>
      <c r="AE674" s="17">
        <v>0</v>
      </c>
      <c r="AF674" s="17">
        <v>0</v>
      </c>
      <c r="AG674" s="17">
        <v>0</v>
      </c>
      <c r="AH674" s="15" t="s">
        <v>42</v>
      </c>
    </row>
    <row r="675" spans="1:34">
      <c r="A675" s="13" t="str">
        <f t="shared" si="60"/>
        <v>Normal</v>
      </c>
      <c r="B675" s="14" t="s">
        <v>706</v>
      </c>
      <c r="C675" s="15" t="s">
        <v>277</v>
      </c>
      <c r="D675" s="19">
        <f t="shared" si="61"/>
        <v>16</v>
      </c>
      <c r="E675" s="16" t="str">
        <f t="shared" si="62"/>
        <v>--</v>
      </c>
      <c r="F675" s="16">
        <f t="shared" si="63"/>
        <v>0</v>
      </c>
      <c r="G675" s="16" t="str">
        <f t="shared" si="64"/>
        <v>--</v>
      </c>
      <c r="H675" s="24" t="str">
        <f>IFERROR(VLOOKUP(B675,#REF!,8,FALSE),"")</f>
        <v/>
      </c>
      <c r="I675" s="17">
        <v>0</v>
      </c>
      <c r="J675" s="17">
        <v>0</v>
      </c>
      <c r="K675" s="24" t="str">
        <f>IFERROR(VLOOKUP(B675,#REF!,11,FALSE),"")</f>
        <v/>
      </c>
      <c r="L675" s="17">
        <v>6000</v>
      </c>
      <c r="M675" s="6" t="s">
        <v>758</v>
      </c>
      <c r="N675" s="18" t="str">
        <f>IFERROR(VLOOKUP(B675,#REF!,13,FALSE),"")</f>
        <v/>
      </c>
      <c r="O675" s="19" t="str">
        <f>IFERROR(VLOOKUP(B675,#REF!,14,FALSE),"")</f>
        <v/>
      </c>
      <c r="P675" s="19" t="str">
        <f>IFERROR(VLOOKUP(B675,#REF!,15,FALSE),"")</f>
        <v/>
      </c>
      <c r="Q675" s="19"/>
      <c r="R675" s="25" t="str">
        <f>IFERROR(VLOOKUP(B675,#REF!,16,FALSE),"")</f>
        <v/>
      </c>
      <c r="S675" s="17">
        <v>0</v>
      </c>
      <c r="T675" s="17">
        <v>3000</v>
      </c>
      <c r="U675" s="17">
        <v>3000</v>
      </c>
      <c r="V675" s="17">
        <v>0</v>
      </c>
      <c r="W675" s="20">
        <v>6000</v>
      </c>
      <c r="X675" s="16">
        <v>16</v>
      </c>
      <c r="Y675" s="21" t="s">
        <v>40</v>
      </c>
      <c r="Z675" s="20">
        <v>375</v>
      </c>
      <c r="AA675" s="17" t="s">
        <v>40</v>
      </c>
      <c r="AB675" s="22" t="s">
        <v>41</v>
      </c>
      <c r="AC675" s="23" t="str">
        <f t="shared" si="65"/>
        <v>E</v>
      </c>
      <c r="AD675" s="17">
        <v>0</v>
      </c>
      <c r="AE675" s="17">
        <v>0</v>
      </c>
      <c r="AF675" s="17">
        <v>0</v>
      </c>
      <c r="AG675" s="17">
        <v>0</v>
      </c>
      <c r="AH675" s="15" t="s">
        <v>42</v>
      </c>
    </row>
    <row r="676" spans="1:34">
      <c r="A676" s="13" t="str">
        <f t="shared" si="60"/>
        <v>Normal</v>
      </c>
      <c r="B676" s="14" t="s">
        <v>707</v>
      </c>
      <c r="C676" s="15" t="s">
        <v>277</v>
      </c>
      <c r="D676" s="19">
        <f t="shared" si="61"/>
        <v>6.9</v>
      </c>
      <c r="E676" s="16">
        <f t="shared" si="62"/>
        <v>12</v>
      </c>
      <c r="F676" s="16">
        <f t="shared" si="63"/>
        <v>0</v>
      </c>
      <c r="G676" s="16">
        <f t="shared" si="64"/>
        <v>0</v>
      </c>
      <c r="H676" s="24" t="str">
        <f>IFERROR(VLOOKUP(B676,#REF!,8,FALSE),"")</f>
        <v/>
      </c>
      <c r="I676" s="17">
        <v>0</v>
      </c>
      <c r="J676" s="17">
        <v>0</v>
      </c>
      <c r="K676" s="24" t="str">
        <f>IFERROR(VLOOKUP(B676,#REF!,11,FALSE),"")</f>
        <v/>
      </c>
      <c r="L676" s="17">
        <v>180000</v>
      </c>
      <c r="M676" s="6" t="s">
        <v>758</v>
      </c>
      <c r="N676" s="18" t="str">
        <f>IFERROR(VLOOKUP(B676,#REF!,13,FALSE),"")</f>
        <v/>
      </c>
      <c r="O676" s="19" t="str">
        <f>IFERROR(VLOOKUP(B676,#REF!,14,FALSE),"")</f>
        <v/>
      </c>
      <c r="P676" s="19" t="str">
        <f>IFERROR(VLOOKUP(B676,#REF!,15,FALSE),"")</f>
        <v/>
      </c>
      <c r="Q676" s="19"/>
      <c r="R676" s="25" t="str">
        <f>IFERROR(VLOOKUP(B676,#REF!,16,FALSE),"")</f>
        <v/>
      </c>
      <c r="S676" s="17">
        <v>0</v>
      </c>
      <c r="T676" s="17">
        <v>180000</v>
      </c>
      <c r="U676" s="17">
        <v>0</v>
      </c>
      <c r="V676" s="17">
        <v>0</v>
      </c>
      <c r="W676" s="20">
        <v>180000</v>
      </c>
      <c r="X676" s="16">
        <v>6.9</v>
      </c>
      <c r="Y676" s="21">
        <v>12</v>
      </c>
      <c r="Z676" s="20">
        <v>26250</v>
      </c>
      <c r="AA676" s="17">
        <v>15000</v>
      </c>
      <c r="AB676" s="22">
        <v>0.6</v>
      </c>
      <c r="AC676" s="23">
        <f t="shared" si="65"/>
        <v>100</v>
      </c>
      <c r="AD676" s="17">
        <v>30000</v>
      </c>
      <c r="AE676" s="17">
        <v>60000</v>
      </c>
      <c r="AF676" s="17">
        <v>60000</v>
      </c>
      <c r="AG676" s="17">
        <v>0</v>
      </c>
      <c r="AH676" s="15" t="s">
        <v>42</v>
      </c>
    </row>
    <row r="677" spans="1:34">
      <c r="A677" s="13" t="str">
        <f t="shared" si="60"/>
        <v>Normal</v>
      </c>
      <c r="B677" s="14" t="s">
        <v>708</v>
      </c>
      <c r="C677" s="15" t="s">
        <v>709</v>
      </c>
      <c r="D677" s="19">
        <f t="shared" si="61"/>
        <v>14.4</v>
      </c>
      <c r="E677" s="16">
        <f t="shared" si="62"/>
        <v>7.5</v>
      </c>
      <c r="F677" s="16">
        <f t="shared" si="63"/>
        <v>1.6</v>
      </c>
      <c r="G677" s="16">
        <f t="shared" si="64"/>
        <v>0.8</v>
      </c>
      <c r="H677" s="24" t="str">
        <f>IFERROR(VLOOKUP(B677,#REF!,8,FALSE),"")</f>
        <v/>
      </c>
      <c r="I677" s="17">
        <v>10000</v>
      </c>
      <c r="J677" s="17">
        <v>0</v>
      </c>
      <c r="K677" s="24" t="str">
        <f>IFERROR(VLOOKUP(B677,#REF!,11,FALSE),"")</f>
        <v/>
      </c>
      <c r="L677" s="17">
        <v>90000</v>
      </c>
      <c r="M677" s="6" t="s">
        <v>748</v>
      </c>
      <c r="N677" s="18" t="str">
        <f>IFERROR(VLOOKUP(B677,#REF!,13,FALSE),"")</f>
        <v/>
      </c>
      <c r="O677" s="19" t="str">
        <f>IFERROR(VLOOKUP(B677,#REF!,14,FALSE),"")</f>
        <v/>
      </c>
      <c r="P677" s="19" t="str">
        <f>IFERROR(VLOOKUP(B677,#REF!,15,FALSE),"")</f>
        <v/>
      </c>
      <c r="Q677" s="19"/>
      <c r="R677" s="25" t="str">
        <f>IFERROR(VLOOKUP(B677,#REF!,16,FALSE),"")</f>
        <v/>
      </c>
      <c r="S677" s="17">
        <v>0</v>
      </c>
      <c r="T677" s="17">
        <v>40000</v>
      </c>
      <c r="U677" s="17">
        <v>50000</v>
      </c>
      <c r="V677" s="17">
        <v>0</v>
      </c>
      <c r="W677" s="20">
        <v>100000</v>
      </c>
      <c r="X677" s="16">
        <v>16</v>
      </c>
      <c r="Y677" s="21">
        <v>8.4</v>
      </c>
      <c r="Z677" s="20">
        <v>6250</v>
      </c>
      <c r="AA677" s="17">
        <v>11960</v>
      </c>
      <c r="AB677" s="22">
        <v>1.9</v>
      </c>
      <c r="AC677" s="23">
        <f t="shared" si="65"/>
        <v>100</v>
      </c>
      <c r="AD677" s="17">
        <v>12823</v>
      </c>
      <c r="AE677" s="17">
        <v>56840</v>
      </c>
      <c r="AF677" s="17">
        <v>37980</v>
      </c>
      <c r="AG677" s="17">
        <v>26060</v>
      </c>
      <c r="AH677" s="15" t="s">
        <v>42</v>
      </c>
    </row>
    <row r="678" spans="1:34">
      <c r="A678" s="13" t="str">
        <f t="shared" si="60"/>
        <v>OverStock</v>
      </c>
      <c r="B678" s="14" t="s">
        <v>712</v>
      </c>
      <c r="C678" s="15" t="s">
        <v>709</v>
      </c>
      <c r="D678" s="19">
        <f t="shared" si="61"/>
        <v>23.7</v>
      </c>
      <c r="E678" s="16">
        <f t="shared" si="62"/>
        <v>20.2</v>
      </c>
      <c r="F678" s="16">
        <f t="shared" si="63"/>
        <v>2.8</v>
      </c>
      <c r="G678" s="16">
        <f t="shared" si="64"/>
        <v>2.4</v>
      </c>
      <c r="H678" s="24" t="str">
        <f>IFERROR(VLOOKUP(B678,#REF!,8,FALSE),"")</f>
        <v/>
      </c>
      <c r="I678" s="17">
        <v>20000</v>
      </c>
      <c r="J678" s="17">
        <v>20000</v>
      </c>
      <c r="K678" s="24" t="str">
        <f>IFERROR(VLOOKUP(B678,#REF!,11,FALSE),"")</f>
        <v/>
      </c>
      <c r="L678" s="17">
        <v>170000</v>
      </c>
      <c r="M678" s="6" t="s">
        <v>748</v>
      </c>
      <c r="N678" s="18" t="str">
        <f>IFERROR(VLOOKUP(B678,#REF!,13,FALSE),"")</f>
        <v/>
      </c>
      <c r="O678" s="19" t="str">
        <f>IFERROR(VLOOKUP(B678,#REF!,14,FALSE),"")</f>
        <v/>
      </c>
      <c r="P678" s="19" t="str">
        <f>IFERROR(VLOOKUP(B678,#REF!,15,FALSE),"")</f>
        <v/>
      </c>
      <c r="Q678" s="19"/>
      <c r="R678" s="25" t="str">
        <f>IFERROR(VLOOKUP(B678,#REF!,16,FALSE),"")</f>
        <v/>
      </c>
      <c r="S678" s="17">
        <v>50000</v>
      </c>
      <c r="T678" s="17">
        <v>42500</v>
      </c>
      <c r="U678" s="17">
        <v>77500</v>
      </c>
      <c r="V678" s="17">
        <v>0</v>
      </c>
      <c r="W678" s="20">
        <v>190000</v>
      </c>
      <c r="X678" s="16">
        <v>26.4</v>
      </c>
      <c r="Y678" s="21">
        <v>22.5</v>
      </c>
      <c r="Z678" s="20">
        <v>7188</v>
      </c>
      <c r="AA678" s="17">
        <v>8428</v>
      </c>
      <c r="AB678" s="22">
        <v>1.2</v>
      </c>
      <c r="AC678" s="23">
        <f t="shared" si="65"/>
        <v>100</v>
      </c>
      <c r="AD678" s="17">
        <v>21962</v>
      </c>
      <c r="AE678" s="17">
        <v>53890</v>
      </c>
      <c r="AF678" s="17">
        <v>0</v>
      </c>
      <c r="AG678" s="17">
        <v>0</v>
      </c>
      <c r="AH678" s="15" t="s">
        <v>42</v>
      </c>
    </row>
    <row r="679" spans="1:34">
      <c r="A679" s="13" t="str">
        <f t="shared" si="60"/>
        <v>OverStock</v>
      </c>
      <c r="B679" s="14" t="s">
        <v>716</v>
      </c>
      <c r="C679" s="15" t="s">
        <v>709</v>
      </c>
      <c r="D679" s="19">
        <f t="shared" si="61"/>
        <v>21.1</v>
      </c>
      <c r="E679" s="16">
        <f t="shared" si="62"/>
        <v>17.7</v>
      </c>
      <c r="F679" s="16">
        <f t="shared" si="63"/>
        <v>0</v>
      </c>
      <c r="G679" s="16">
        <f t="shared" si="64"/>
        <v>0</v>
      </c>
      <c r="H679" s="24" t="str">
        <f>IFERROR(VLOOKUP(B679,#REF!,8,FALSE),"")</f>
        <v/>
      </c>
      <c r="I679" s="17">
        <v>0</v>
      </c>
      <c r="J679" s="17">
        <v>0</v>
      </c>
      <c r="K679" s="24" t="str">
        <f>IFERROR(VLOOKUP(B679,#REF!,11,FALSE),"")</f>
        <v/>
      </c>
      <c r="L679" s="17">
        <v>72500</v>
      </c>
      <c r="M679" s="6" t="s">
        <v>748</v>
      </c>
      <c r="N679" s="18" t="str">
        <f>IFERROR(VLOOKUP(B679,#REF!,13,FALSE),"")</f>
        <v/>
      </c>
      <c r="O679" s="19" t="str">
        <f>IFERROR(VLOOKUP(B679,#REF!,14,FALSE),"")</f>
        <v/>
      </c>
      <c r="P679" s="19" t="str">
        <f>IFERROR(VLOOKUP(B679,#REF!,15,FALSE),"")</f>
        <v/>
      </c>
      <c r="Q679" s="19"/>
      <c r="R679" s="25" t="str">
        <f>IFERROR(VLOOKUP(B679,#REF!,16,FALSE),"")</f>
        <v/>
      </c>
      <c r="S679" s="17">
        <v>20000</v>
      </c>
      <c r="T679" s="17">
        <v>20000</v>
      </c>
      <c r="U679" s="17">
        <v>32500</v>
      </c>
      <c r="V679" s="17">
        <v>0</v>
      </c>
      <c r="W679" s="20">
        <v>72500</v>
      </c>
      <c r="X679" s="16">
        <v>21.1</v>
      </c>
      <c r="Y679" s="21">
        <v>17.7</v>
      </c>
      <c r="Z679" s="20">
        <v>3438</v>
      </c>
      <c r="AA679" s="17">
        <v>4091</v>
      </c>
      <c r="AB679" s="22">
        <v>1.2</v>
      </c>
      <c r="AC679" s="23">
        <f t="shared" si="65"/>
        <v>100</v>
      </c>
      <c r="AD679" s="17">
        <v>11458</v>
      </c>
      <c r="AE679" s="17">
        <v>25360</v>
      </c>
      <c r="AF679" s="17">
        <v>0</v>
      </c>
      <c r="AG679" s="17">
        <v>0</v>
      </c>
      <c r="AH679" s="15" t="s">
        <v>42</v>
      </c>
    </row>
    <row r="680" spans="1:34">
      <c r="A680" s="13" t="str">
        <f t="shared" si="60"/>
        <v>Normal</v>
      </c>
      <c r="B680" s="14" t="s">
        <v>718</v>
      </c>
      <c r="C680" s="15" t="s">
        <v>709</v>
      </c>
      <c r="D680" s="19">
        <f t="shared" si="61"/>
        <v>0</v>
      </c>
      <c r="E680" s="16" t="str">
        <f t="shared" si="62"/>
        <v>--</v>
      </c>
      <c r="F680" s="16">
        <f t="shared" si="63"/>
        <v>0</v>
      </c>
      <c r="G680" s="16" t="str">
        <f t="shared" si="64"/>
        <v>--</v>
      </c>
      <c r="H680" s="24" t="str">
        <f>IFERROR(VLOOKUP(B680,#REF!,8,FALSE),"")</f>
        <v/>
      </c>
      <c r="I680" s="17">
        <v>0</v>
      </c>
      <c r="J680" s="17">
        <v>0</v>
      </c>
      <c r="K680" s="24" t="str">
        <f>IFERROR(VLOOKUP(B680,#REF!,11,FALSE),"")</f>
        <v/>
      </c>
      <c r="L680" s="17">
        <v>0</v>
      </c>
      <c r="M680" s="6" t="s">
        <v>748</v>
      </c>
      <c r="N680" s="18" t="str">
        <f>IFERROR(VLOOKUP(B680,#REF!,13,FALSE),"")</f>
        <v/>
      </c>
      <c r="O680" s="19" t="str">
        <f>IFERROR(VLOOKUP(B680,#REF!,14,FALSE),"")</f>
        <v/>
      </c>
      <c r="P680" s="19" t="str">
        <f>IFERROR(VLOOKUP(B680,#REF!,15,FALSE),"")</f>
        <v/>
      </c>
      <c r="Q680" s="19"/>
      <c r="R680" s="25" t="str">
        <f>IFERROR(VLOOKUP(B680,#REF!,16,FALSE),"")</f>
        <v/>
      </c>
      <c r="S680" s="17">
        <v>0</v>
      </c>
      <c r="T680" s="17">
        <v>0</v>
      </c>
      <c r="U680" s="17">
        <v>0</v>
      </c>
      <c r="V680" s="17">
        <v>0</v>
      </c>
      <c r="W680" s="20">
        <v>0</v>
      </c>
      <c r="X680" s="16">
        <v>0</v>
      </c>
      <c r="Y680" s="21" t="s">
        <v>40</v>
      </c>
      <c r="Z680" s="20">
        <v>625</v>
      </c>
      <c r="AA680" s="17" t="s">
        <v>40</v>
      </c>
      <c r="AB680" s="22" t="s">
        <v>41</v>
      </c>
      <c r="AC680" s="23" t="str">
        <f t="shared" si="65"/>
        <v>E</v>
      </c>
      <c r="AD680" s="17">
        <v>0</v>
      </c>
      <c r="AE680" s="17">
        <v>0</v>
      </c>
      <c r="AF680" s="17">
        <v>0</v>
      </c>
      <c r="AG680" s="17">
        <v>0</v>
      </c>
      <c r="AH680" s="15" t="s">
        <v>42</v>
      </c>
    </row>
    <row r="681" spans="1:34">
      <c r="A681" s="13" t="str">
        <f t="shared" si="60"/>
        <v>OverStock</v>
      </c>
      <c r="B681" s="14" t="s">
        <v>720</v>
      </c>
      <c r="C681" s="15" t="s">
        <v>709</v>
      </c>
      <c r="D681" s="19">
        <f t="shared" si="61"/>
        <v>15.4</v>
      </c>
      <c r="E681" s="16">
        <f t="shared" si="62"/>
        <v>11.6</v>
      </c>
      <c r="F681" s="16">
        <f t="shared" si="63"/>
        <v>7.4</v>
      </c>
      <c r="G681" s="16">
        <f t="shared" si="64"/>
        <v>5.6</v>
      </c>
      <c r="H681" s="24" t="str">
        <f>IFERROR(VLOOKUP(B681,#REF!,8,FALSE),"")</f>
        <v/>
      </c>
      <c r="I681" s="17">
        <v>270000</v>
      </c>
      <c r="J681" s="17">
        <v>120000</v>
      </c>
      <c r="K681" s="24" t="str">
        <f>IFERROR(VLOOKUP(B681,#REF!,11,FALSE),"")</f>
        <v/>
      </c>
      <c r="L681" s="17">
        <v>557500</v>
      </c>
      <c r="M681" s="6" t="s">
        <v>748</v>
      </c>
      <c r="N681" s="18" t="str">
        <f>IFERROR(VLOOKUP(B681,#REF!,13,FALSE),"")</f>
        <v/>
      </c>
      <c r="O681" s="19" t="str">
        <f>IFERROR(VLOOKUP(B681,#REF!,14,FALSE),"")</f>
        <v/>
      </c>
      <c r="P681" s="19" t="str">
        <f>IFERROR(VLOOKUP(B681,#REF!,15,FALSE),"")</f>
        <v/>
      </c>
      <c r="Q681" s="19"/>
      <c r="R681" s="25" t="str">
        <f>IFERROR(VLOOKUP(B681,#REF!,16,FALSE),"")</f>
        <v/>
      </c>
      <c r="S681" s="17">
        <v>17500</v>
      </c>
      <c r="T681" s="17">
        <v>200000</v>
      </c>
      <c r="U681" s="17">
        <v>340000</v>
      </c>
      <c r="V681" s="17">
        <v>0</v>
      </c>
      <c r="W681" s="20">
        <v>827500</v>
      </c>
      <c r="X681" s="16">
        <v>22.8</v>
      </c>
      <c r="Y681" s="21">
        <v>17.3</v>
      </c>
      <c r="Z681" s="20">
        <v>36250</v>
      </c>
      <c r="AA681" s="17">
        <v>47903</v>
      </c>
      <c r="AB681" s="22">
        <v>1.3</v>
      </c>
      <c r="AC681" s="23">
        <f t="shared" si="65"/>
        <v>100</v>
      </c>
      <c r="AD681" s="17">
        <v>102114</v>
      </c>
      <c r="AE681" s="17">
        <v>235940</v>
      </c>
      <c r="AF681" s="17">
        <v>117000</v>
      </c>
      <c r="AG681" s="17">
        <v>47220</v>
      </c>
      <c r="AH681" s="15" t="s">
        <v>42</v>
      </c>
    </row>
    <row r="682" spans="1:34">
      <c r="A682" s="13" t="str">
        <f t="shared" si="60"/>
        <v>FCST</v>
      </c>
      <c r="B682" s="14" t="s">
        <v>724</v>
      </c>
      <c r="C682" s="15" t="s">
        <v>709</v>
      </c>
      <c r="D682" s="19" t="str">
        <f t="shared" si="61"/>
        <v>前八週無拉料</v>
      </c>
      <c r="E682" s="16">
        <f t="shared" si="62"/>
        <v>14.3</v>
      </c>
      <c r="F682" s="16" t="str">
        <f t="shared" si="63"/>
        <v>--</v>
      </c>
      <c r="G682" s="16">
        <f t="shared" si="64"/>
        <v>0</v>
      </c>
      <c r="H682" s="24" t="str">
        <f>IFERROR(VLOOKUP(B682,#REF!,8,FALSE),"")</f>
        <v/>
      </c>
      <c r="I682" s="17">
        <v>0</v>
      </c>
      <c r="J682" s="17">
        <v>0</v>
      </c>
      <c r="K682" s="24" t="str">
        <f>IFERROR(VLOOKUP(B682,#REF!,11,FALSE),"")</f>
        <v/>
      </c>
      <c r="L682" s="17">
        <v>95000</v>
      </c>
      <c r="M682" s="6" t="s">
        <v>748</v>
      </c>
      <c r="N682" s="18" t="str">
        <f>IFERROR(VLOOKUP(B682,#REF!,13,FALSE),"")</f>
        <v/>
      </c>
      <c r="O682" s="19" t="str">
        <f>IFERROR(VLOOKUP(B682,#REF!,14,FALSE),"")</f>
        <v/>
      </c>
      <c r="P682" s="19" t="str">
        <f>IFERROR(VLOOKUP(B682,#REF!,15,FALSE),"")</f>
        <v/>
      </c>
      <c r="Q682" s="19"/>
      <c r="R682" s="25" t="str">
        <f>IFERROR(VLOOKUP(B682,#REF!,16,FALSE),"")</f>
        <v/>
      </c>
      <c r="S682" s="17">
        <v>0</v>
      </c>
      <c r="T682" s="17">
        <v>45000</v>
      </c>
      <c r="U682" s="17">
        <v>50000</v>
      </c>
      <c r="V682" s="17">
        <v>0</v>
      </c>
      <c r="W682" s="20">
        <v>95000</v>
      </c>
      <c r="X682" s="16" t="s">
        <v>40</v>
      </c>
      <c r="Y682" s="21">
        <v>14.3</v>
      </c>
      <c r="Z682" s="20">
        <v>0</v>
      </c>
      <c r="AA682" s="17">
        <v>6637</v>
      </c>
      <c r="AB682" s="22" t="s">
        <v>51</v>
      </c>
      <c r="AC682" s="23" t="str">
        <f t="shared" si="65"/>
        <v>F</v>
      </c>
      <c r="AD682" s="17">
        <v>13200</v>
      </c>
      <c r="AE682" s="17">
        <v>33030</v>
      </c>
      <c r="AF682" s="17">
        <v>15000</v>
      </c>
      <c r="AG682" s="17">
        <v>7740</v>
      </c>
      <c r="AH682" s="15" t="s">
        <v>42</v>
      </c>
    </row>
    <row r="683" spans="1:34">
      <c r="A683" s="13" t="str">
        <f t="shared" si="60"/>
        <v>OverStock</v>
      </c>
      <c r="B683" s="14" t="s">
        <v>725</v>
      </c>
      <c r="C683" s="15" t="s">
        <v>709</v>
      </c>
      <c r="D683" s="19">
        <f t="shared" si="61"/>
        <v>28.8</v>
      </c>
      <c r="E683" s="16">
        <f t="shared" si="62"/>
        <v>23.1</v>
      </c>
      <c r="F683" s="16">
        <f t="shared" si="63"/>
        <v>9.6</v>
      </c>
      <c r="G683" s="16">
        <f t="shared" si="64"/>
        <v>7.7</v>
      </c>
      <c r="H683" s="24" t="str">
        <f>IFERROR(VLOOKUP(B683,#REF!,8,FALSE),"")</f>
        <v/>
      </c>
      <c r="I683" s="17">
        <v>15000</v>
      </c>
      <c r="J683" s="17">
        <v>15000</v>
      </c>
      <c r="K683" s="24" t="str">
        <f>IFERROR(VLOOKUP(B683,#REF!,11,FALSE),"")</f>
        <v/>
      </c>
      <c r="L683" s="17">
        <v>45000</v>
      </c>
      <c r="M683" s="6" t="s">
        <v>752</v>
      </c>
      <c r="N683" s="18" t="str">
        <f>IFERROR(VLOOKUP(B683,#REF!,13,FALSE),"")</f>
        <v/>
      </c>
      <c r="O683" s="19" t="str">
        <f>IFERROR(VLOOKUP(B683,#REF!,14,FALSE),"")</f>
        <v/>
      </c>
      <c r="P683" s="19" t="str">
        <f>IFERROR(VLOOKUP(B683,#REF!,15,FALSE),"")</f>
        <v/>
      </c>
      <c r="Q683" s="19"/>
      <c r="R683" s="25" t="str">
        <f>IFERROR(VLOOKUP(B683,#REF!,16,FALSE),"")</f>
        <v/>
      </c>
      <c r="S683" s="17">
        <v>0</v>
      </c>
      <c r="T683" s="17">
        <v>45000</v>
      </c>
      <c r="U683" s="17">
        <v>0</v>
      </c>
      <c r="V683" s="17">
        <v>0</v>
      </c>
      <c r="W683" s="20">
        <v>60000</v>
      </c>
      <c r="X683" s="16">
        <v>38.4</v>
      </c>
      <c r="Y683" s="21">
        <v>30.9</v>
      </c>
      <c r="Z683" s="20">
        <v>1563</v>
      </c>
      <c r="AA683" s="17">
        <v>1944</v>
      </c>
      <c r="AB683" s="22">
        <v>1.2</v>
      </c>
      <c r="AC683" s="23">
        <f t="shared" si="65"/>
        <v>100</v>
      </c>
      <c r="AD683" s="17">
        <v>12500</v>
      </c>
      <c r="AE683" s="17">
        <v>10000</v>
      </c>
      <c r="AF683" s="17">
        <v>17500</v>
      </c>
      <c r="AG683" s="17">
        <v>17500</v>
      </c>
      <c r="AH683" s="15" t="s">
        <v>42</v>
      </c>
    </row>
    <row r="684" spans="1:34">
      <c r="A684" s="13" t="str">
        <f t="shared" si="60"/>
        <v>OverStock</v>
      </c>
      <c r="B684" s="14" t="s">
        <v>727</v>
      </c>
      <c r="C684" s="15" t="s">
        <v>709</v>
      </c>
      <c r="D684" s="19">
        <f t="shared" si="61"/>
        <v>58</v>
      </c>
      <c r="E684" s="16">
        <f t="shared" si="62"/>
        <v>130.4</v>
      </c>
      <c r="F684" s="16">
        <f t="shared" si="63"/>
        <v>0</v>
      </c>
      <c r="G684" s="16">
        <f t="shared" si="64"/>
        <v>0</v>
      </c>
      <c r="H684" s="24" t="str">
        <f>IFERROR(VLOOKUP(B684,#REF!,8,FALSE),"")</f>
        <v/>
      </c>
      <c r="I684" s="17">
        <v>0</v>
      </c>
      <c r="J684" s="17">
        <v>0</v>
      </c>
      <c r="K684" s="24" t="str">
        <f>IFERROR(VLOOKUP(B684,#REF!,11,FALSE),"")</f>
        <v/>
      </c>
      <c r="L684" s="17">
        <v>72500</v>
      </c>
      <c r="M684" s="6" t="s">
        <v>748</v>
      </c>
      <c r="N684" s="18" t="str">
        <f>IFERROR(VLOOKUP(B684,#REF!,13,FALSE),"")</f>
        <v/>
      </c>
      <c r="O684" s="19" t="str">
        <f>IFERROR(VLOOKUP(B684,#REF!,14,FALSE),"")</f>
        <v/>
      </c>
      <c r="P684" s="19" t="str">
        <f>IFERROR(VLOOKUP(B684,#REF!,15,FALSE),"")</f>
        <v/>
      </c>
      <c r="Q684" s="19"/>
      <c r="R684" s="25" t="str">
        <f>IFERROR(VLOOKUP(B684,#REF!,16,FALSE),"")</f>
        <v/>
      </c>
      <c r="S684" s="17">
        <v>0</v>
      </c>
      <c r="T684" s="17">
        <v>72500</v>
      </c>
      <c r="U684" s="17">
        <v>0</v>
      </c>
      <c r="V684" s="17">
        <v>0</v>
      </c>
      <c r="W684" s="20">
        <v>72500</v>
      </c>
      <c r="X684" s="16">
        <v>58</v>
      </c>
      <c r="Y684" s="21">
        <v>130.4</v>
      </c>
      <c r="Z684" s="20">
        <v>1250</v>
      </c>
      <c r="AA684" s="17">
        <v>556</v>
      </c>
      <c r="AB684" s="22">
        <v>0.4</v>
      </c>
      <c r="AC684" s="23">
        <f t="shared" si="65"/>
        <v>50</v>
      </c>
      <c r="AD684" s="17">
        <v>0</v>
      </c>
      <c r="AE684" s="17">
        <v>2500</v>
      </c>
      <c r="AF684" s="17">
        <v>7500</v>
      </c>
      <c r="AG684" s="17">
        <v>45000</v>
      </c>
      <c r="AH684" s="15" t="s">
        <v>42</v>
      </c>
    </row>
    <row r="685" spans="1:34">
      <c r="A685" s="13" t="str">
        <f t="shared" si="60"/>
        <v>Normal</v>
      </c>
      <c r="B685" s="14" t="s">
        <v>728</v>
      </c>
      <c r="C685" s="15" t="s">
        <v>709</v>
      </c>
      <c r="D685" s="19">
        <f t="shared" si="61"/>
        <v>1.2</v>
      </c>
      <c r="E685" s="16">
        <f t="shared" si="62"/>
        <v>7</v>
      </c>
      <c r="F685" s="16">
        <f t="shared" si="63"/>
        <v>3</v>
      </c>
      <c r="G685" s="16">
        <f t="shared" si="64"/>
        <v>17</v>
      </c>
      <c r="H685" s="24" t="str">
        <f>IFERROR(VLOOKUP(B685,#REF!,8,FALSE),"")</f>
        <v/>
      </c>
      <c r="I685" s="17">
        <v>42500</v>
      </c>
      <c r="J685" s="17">
        <v>42500</v>
      </c>
      <c r="K685" s="24" t="str">
        <f>IFERROR(VLOOKUP(B685,#REF!,11,FALSE),"")</f>
        <v/>
      </c>
      <c r="L685" s="17">
        <v>17500</v>
      </c>
      <c r="M685" s="6" t="s">
        <v>752</v>
      </c>
      <c r="N685" s="18" t="str">
        <f>IFERROR(VLOOKUP(B685,#REF!,13,FALSE),"")</f>
        <v/>
      </c>
      <c r="O685" s="19" t="str">
        <f>IFERROR(VLOOKUP(B685,#REF!,14,FALSE),"")</f>
        <v/>
      </c>
      <c r="P685" s="19" t="str">
        <f>IFERROR(VLOOKUP(B685,#REF!,15,FALSE),"")</f>
        <v/>
      </c>
      <c r="Q685" s="19"/>
      <c r="R685" s="25" t="str">
        <f>IFERROR(VLOOKUP(B685,#REF!,16,FALSE),"")</f>
        <v/>
      </c>
      <c r="S685" s="17">
        <v>0</v>
      </c>
      <c r="T685" s="17">
        <v>17500</v>
      </c>
      <c r="U685" s="17">
        <v>0</v>
      </c>
      <c r="V685" s="17">
        <v>0</v>
      </c>
      <c r="W685" s="20">
        <v>60000</v>
      </c>
      <c r="X685" s="16">
        <v>4.3</v>
      </c>
      <c r="Y685" s="21">
        <v>24</v>
      </c>
      <c r="Z685" s="20">
        <v>14063</v>
      </c>
      <c r="AA685" s="17">
        <v>2500</v>
      </c>
      <c r="AB685" s="22">
        <v>0.2</v>
      </c>
      <c r="AC685" s="23">
        <f t="shared" si="65"/>
        <v>50</v>
      </c>
      <c r="AD685" s="17">
        <v>2500</v>
      </c>
      <c r="AE685" s="17">
        <v>12500</v>
      </c>
      <c r="AF685" s="17">
        <v>15000</v>
      </c>
      <c r="AG685" s="17">
        <v>0</v>
      </c>
      <c r="AH685" s="15" t="s">
        <v>42</v>
      </c>
    </row>
    <row r="686" spans="1:34">
      <c r="A686" s="13" t="str">
        <f t="shared" si="60"/>
        <v>FCST</v>
      </c>
      <c r="B686" s="14" t="s">
        <v>729</v>
      </c>
      <c r="C686" s="15" t="s">
        <v>709</v>
      </c>
      <c r="D686" s="19" t="str">
        <f t="shared" si="61"/>
        <v>前八週無拉料</v>
      </c>
      <c r="E686" s="16">
        <f t="shared" si="62"/>
        <v>27</v>
      </c>
      <c r="F686" s="16" t="str">
        <f t="shared" si="63"/>
        <v>--</v>
      </c>
      <c r="G686" s="16">
        <f t="shared" si="64"/>
        <v>0</v>
      </c>
      <c r="H686" s="24" t="str">
        <f>IFERROR(VLOOKUP(B686,#REF!,8,FALSE),"")</f>
        <v/>
      </c>
      <c r="I686" s="17">
        <v>0</v>
      </c>
      <c r="J686" s="17">
        <v>0</v>
      </c>
      <c r="K686" s="24" t="str">
        <f>IFERROR(VLOOKUP(B686,#REF!,11,FALSE),"")</f>
        <v/>
      </c>
      <c r="L686" s="17">
        <v>22500</v>
      </c>
      <c r="M686" s="6" t="s">
        <v>752</v>
      </c>
      <c r="N686" s="18" t="str">
        <f>IFERROR(VLOOKUP(B686,#REF!,13,FALSE),"")</f>
        <v/>
      </c>
      <c r="O686" s="19" t="str">
        <f>IFERROR(VLOOKUP(B686,#REF!,14,FALSE),"")</f>
        <v/>
      </c>
      <c r="P686" s="19" t="str">
        <f>IFERROR(VLOOKUP(B686,#REF!,15,FALSE),"")</f>
        <v/>
      </c>
      <c r="Q686" s="19"/>
      <c r="R686" s="25" t="str">
        <f>IFERROR(VLOOKUP(B686,#REF!,16,FALSE),"")</f>
        <v/>
      </c>
      <c r="S686" s="17">
        <v>0</v>
      </c>
      <c r="T686" s="17">
        <v>22500</v>
      </c>
      <c r="U686" s="17">
        <v>0</v>
      </c>
      <c r="V686" s="17">
        <v>0</v>
      </c>
      <c r="W686" s="20">
        <v>22500</v>
      </c>
      <c r="X686" s="16" t="s">
        <v>40</v>
      </c>
      <c r="Y686" s="21">
        <v>27</v>
      </c>
      <c r="Z686" s="20">
        <v>0</v>
      </c>
      <c r="AA686" s="17">
        <v>833</v>
      </c>
      <c r="AB686" s="22" t="s">
        <v>51</v>
      </c>
      <c r="AC686" s="23" t="str">
        <f t="shared" si="65"/>
        <v>F</v>
      </c>
      <c r="AD686" s="17">
        <v>0</v>
      </c>
      <c r="AE686" s="17">
        <v>0</v>
      </c>
      <c r="AF686" s="17">
        <v>7500</v>
      </c>
      <c r="AG686" s="17">
        <v>7500</v>
      </c>
      <c r="AH686" s="15" t="s">
        <v>42</v>
      </c>
    </row>
    <row r="687" spans="1:34">
      <c r="A687" s="13" t="str">
        <f t="shared" si="60"/>
        <v>Normal</v>
      </c>
      <c r="B687" s="14" t="s">
        <v>730</v>
      </c>
      <c r="C687" s="15" t="s">
        <v>709</v>
      </c>
      <c r="D687" s="19">
        <f t="shared" si="61"/>
        <v>8.9</v>
      </c>
      <c r="E687" s="16">
        <f t="shared" si="62"/>
        <v>11.5</v>
      </c>
      <c r="F687" s="16">
        <f t="shared" si="63"/>
        <v>0</v>
      </c>
      <c r="G687" s="16">
        <f t="shared" si="64"/>
        <v>0</v>
      </c>
      <c r="H687" s="24" t="str">
        <f>IFERROR(VLOOKUP(B687,#REF!,8,FALSE),"")</f>
        <v/>
      </c>
      <c r="I687" s="17">
        <v>0</v>
      </c>
      <c r="J687" s="17">
        <v>0</v>
      </c>
      <c r="K687" s="24" t="str">
        <f>IFERROR(VLOOKUP(B687,#REF!,11,FALSE),"")</f>
        <v/>
      </c>
      <c r="L687" s="17">
        <v>25000</v>
      </c>
      <c r="M687" s="6" t="s">
        <v>748</v>
      </c>
      <c r="N687" s="18" t="str">
        <f>IFERROR(VLOOKUP(B687,#REF!,13,FALSE),"")</f>
        <v/>
      </c>
      <c r="O687" s="19" t="str">
        <f>IFERROR(VLOOKUP(B687,#REF!,14,FALSE),"")</f>
        <v/>
      </c>
      <c r="P687" s="19" t="str">
        <f>IFERROR(VLOOKUP(B687,#REF!,15,FALSE),"")</f>
        <v/>
      </c>
      <c r="Q687" s="19"/>
      <c r="R687" s="25" t="str">
        <f>IFERROR(VLOOKUP(B687,#REF!,16,FALSE),"")</f>
        <v/>
      </c>
      <c r="S687" s="17">
        <v>0</v>
      </c>
      <c r="T687" s="17">
        <v>5000</v>
      </c>
      <c r="U687" s="17">
        <v>20000</v>
      </c>
      <c r="V687" s="17">
        <v>0</v>
      </c>
      <c r="W687" s="20">
        <v>25000</v>
      </c>
      <c r="X687" s="16">
        <v>8.9</v>
      </c>
      <c r="Y687" s="21">
        <v>11.5</v>
      </c>
      <c r="Z687" s="20">
        <v>2813</v>
      </c>
      <c r="AA687" s="17">
        <v>2167</v>
      </c>
      <c r="AB687" s="22">
        <v>0.8</v>
      </c>
      <c r="AC687" s="23">
        <f t="shared" si="65"/>
        <v>100</v>
      </c>
      <c r="AD687" s="17">
        <v>4500</v>
      </c>
      <c r="AE687" s="17">
        <v>10000</v>
      </c>
      <c r="AF687" s="17">
        <v>6500</v>
      </c>
      <c r="AG687" s="17">
        <v>2000</v>
      </c>
      <c r="AH687" s="15" t="s">
        <v>42</v>
      </c>
    </row>
    <row r="688" spans="1:34">
      <c r="A688" s="13" t="str">
        <f t="shared" si="60"/>
        <v>OverStock</v>
      </c>
      <c r="B688" s="14" t="s">
        <v>731</v>
      </c>
      <c r="C688" s="15" t="s">
        <v>709</v>
      </c>
      <c r="D688" s="19">
        <f t="shared" si="61"/>
        <v>36</v>
      </c>
      <c r="E688" s="16">
        <f t="shared" si="62"/>
        <v>9</v>
      </c>
      <c r="F688" s="16">
        <f t="shared" si="63"/>
        <v>0</v>
      </c>
      <c r="G688" s="16">
        <f t="shared" si="64"/>
        <v>0</v>
      </c>
      <c r="H688" s="24" t="str">
        <f>IFERROR(VLOOKUP(B688,#REF!,8,FALSE),"")</f>
        <v/>
      </c>
      <c r="I688" s="17">
        <v>0</v>
      </c>
      <c r="J688" s="17">
        <v>0</v>
      </c>
      <c r="K688" s="24" t="str">
        <f>IFERROR(VLOOKUP(B688,#REF!,11,FALSE),"")</f>
        <v/>
      </c>
      <c r="L688" s="17">
        <v>22500</v>
      </c>
      <c r="M688" s="6" t="s">
        <v>752</v>
      </c>
      <c r="N688" s="18" t="str">
        <f>IFERROR(VLOOKUP(B688,#REF!,13,FALSE),"")</f>
        <v/>
      </c>
      <c r="O688" s="19" t="str">
        <f>IFERROR(VLOOKUP(B688,#REF!,14,FALSE),"")</f>
        <v/>
      </c>
      <c r="P688" s="19" t="str">
        <f>IFERROR(VLOOKUP(B688,#REF!,15,FALSE),"")</f>
        <v/>
      </c>
      <c r="Q688" s="19"/>
      <c r="R688" s="25" t="str">
        <f>IFERROR(VLOOKUP(B688,#REF!,16,FALSE),"")</f>
        <v/>
      </c>
      <c r="S688" s="17">
        <v>0</v>
      </c>
      <c r="T688" s="17">
        <v>22500</v>
      </c>
      <c r="U688" s="17">
        <v>0</v>
      </c>
      <c r="V688" s="17">
        <v>0</v>
      </c>
      <c r="W688" s="20">
        <v>22500</v>
      </c>
      <c r="X688" s="16">
        <v>36</v>
      </c>
      <c r="Y688" s="21">
        <v>9</v>
      </c>
      <c r="Z688" s="20">
        <v>625</v>
      </c>
      <c r="AA688" s="17">
        <v>2500</v>
      </c>
      <c r="AB688" s="22">
        <v>4</v>
      </c>
      <c r="AC688" s="23">
        <f t="shared" si="65"/>
        <v>150</v>
      </c>
      <c r="AD688" s="17">
        <v>0</v>
      </c>
      <c r="AE688" s="17">
        <v>22500</v>
      </c>
      <c r="AF688" s="17">
        <v>0</v>
      </c>
      <c r="AG688" s="17">
        <v>0</v>
      </c>
      <c r="AH688" s="15" t="s">
        <v>42</v>
      </c>
    </row>
    <row r="689" spans="1:34">
      <c r="A689" s="13" t="str">
        <f t="shared" si="60"/>
        <v>OverStock</v>
      </c>
      <c r="B689" s="14" t="s">
        <v>732</v>
      </c>
      <c r="C689" s="15" t="s">
        <v>709</v>
      </c>
      <c r="D689" s="19">
        <f t="shared" si="61"/>
        <v>2.1</v>
      </c>
      <c r="E689" s="16">
        <f t="shared" si="62"/>
        <v>3.5</v>
      </c>
      <c r="F689" s="16">
        <f t="shared" si="63"/>
        <v>36.9</v>
      </c>
      <c r="G689" s="16">
        <f t="shared" si="64"/>
        <v>61.5</v>
      </c>
      <c r="H689" s="24" t="str">
        <f>IFERROR(VLOOKUP(B689,#REF!,8,FALSE),"")</f>
        <v/>
      </c>
      <c r="I689" s="17">
        <v>530000</v>
      </c>
      <c r="J689" s="17">
        <v>530000</v>
      </c>
      <c r="K689" s="24" t="str">
        <f>IFERROR(VLOOKUP(B689,#REF!,11,FALSE),"")</f>
        <v/>
      </c>
      <c r="L689" s="17">
        <v>30000</v>
      </c>
      <c r="M689" s="6" t="s">
        <v>752</v>
      </c>
      <c r="N689" s="18" t="str">
        <f>IFERROR(VLOOKUP(B689,#REF!,13,FALSE),"")</f>
        <v/>
      </c>
      <c r="O689" s="19" t="str">
        <f>IFERROR(VLOOKUP(B689,#REF!,14,FALSE),"")</f>
        <v/>
      </c>
      <c r="P689" s="19" t="str">
        <f>IFERROR(VLOOKUP(B689,#REF!,15,FALSE),"")</f>
        <v/>
      </c>
      <c r="Q689" s="19"/>
      <c r="R689" s="25" t="str">
        <f>IFERROR(VLOOKUP(B689,#REF!,16,FALSE),"")</f>
        <v/>
      </c>
      <c r="S689" s="17">
        <v>0</v>
      </c>
      <c r="T689" s="17">
        <v>30000</v>
      </c>
      <c r="U689" s="17">
        <v>0</v>
      </c>
      <c r="V689" s="17">
        <v>0</v>
      </c>
      <c r="W689" s="20">
        <v>560000</v>
      </c>
      <c r="X689" s="16">
        <v>39</v>
      </c>
      <c r="Y689" s="21">
        <v>65</v>
      </c>
      <c r="Z689" s="20">
        <v>14375</v>
      </c>
      <c r="AA689" s="17">
        <v>8611</v>
      </c>
      <c r="AB689" s="22">
        <v>0.6</v>
      </c>
      <c r="AC689" s="23">
        <f t="shared" si="65"/>
        <v>100</v>
      </c>
      <c r="AD689" s="17">
        <v>10000</v>
      </c>
      <c r="AE689" s="17">
        <v>60000</v>
      </c>
      <c r="AF689" s="17">
        <v>30000</v>
      </c>
      <c r="AG689" s="17">
        <v>17500</v>
      </c>
      <c r="AH689" s="15" t="s">
        <v>42</v>
      </c>
    </row>
    <row r="690" spans="1:34">
      <c r="A690" s="13" t="str">
        <f t="shared" si="60"/>
        <v>Normal</v>
      </c>
      <c r="B690" s="14" t="s">
        <v>733</v>
      </c>
      <c r="C690" s="15" t="s">
        <v>709</v>
      </c>
      <c r="D690" s="19">
        <f t="shared" si="61"/>
        <v>16</v>
      </c>
      <c r="E690" s="16">
        <f t="shared" si="62"/>
        <v>45</v>
      </c>
      <c r="F690" s="16">
        <f t="shared" si="63"/>
        <v>0</v>
      </c>
      <c r="G690" s="16">
        <f t="shared" si="64"/>
        <v>0</v>
      </c>
      <c r="H690" s="24" t="str">
        <f>IFERROR(VLOOKUP(B690,#REF!,8,FALSE),"")</f>
        <v/>
      </c>
      <c r="I690" s="17">
        <v>0</v>
      </c>
      <c r="J690" s="17">
        <v>0</v>
      </c>
      <c r="K690" s="24" t="str">
        <f>IFERROR(VLOOKUP(B690,#REF!,11,FALSE),"")</f>
        <v/>
      </c>
      <c r="L690" s="17">
        <v>25000</v>
      </c>
      <c r="M690" s="6" t="s">
        <v>752</v>
      </c>
      <c r="N690" s="18" t="str">
        <f>IFERROR(VLOOKUP(B690,#REF!,13,FALSE),"")</f>
        <v/>
      </c>
      <c r="O690" s="19" t="str">
        <f>IFERROR(VLOOKUP(B690,#REF!,14,FALSE),"")</f>
        <v/>
      </c>
      <c r="P690" s="19" t="str">
        <f>IFERROR(VLOOKUP(B690,#REF!,15,FALSE),"")</f>
        <v/>
      </c>
      <c r="Q690" s="19"/>
      <c r="R690" s="25" t="str">
        <f>IFERROR(VLOOKUP(B690,#REF!,16,FALSE),"")</f>
        <v/>
      </c>
      <c r="S690" s="17">
        <v>0</v>
      </c>
      <c r="T690" s="17">
        <v>25000</v>
      </c>
      <c r="U690" s="17">
        <v>0</v>
      </c>
      <c r="V690" s="17">
        <v>0</v>
      </c>
      <c r="W690" s="20">
        <v>25000</v>
      </c>
      <c r="X690" s="16">
        <v>16</v>
      </c>
      <c r="Y690" s="21">
        <v>45</v>
      </c>
      <c r="Z690" s="20">
        <v>1563</v>
      </c>
      <c r="AA690" s="17">
        <v>556</v>
      </c>
      <c r="AB690" s="22">
        <v>0.4</v>
      </c>
      <c r="AC690" s="23">
        <f t="shared" si="65"/>
        <v>50</v>
      </c>
      <c r="AD690" s="17">
        <v>0</v>
      </c>
      <c r="AE690" s="17">
        <v>2500</v>
      </c>
      <c r="AF690" s="17">
        <v>5000</v>
      </c>
      <c r="AG690" s="17">
        <v>0</v>
      </c>
      <c r="AH690" s="15" t="s">
        <v>42</v>
      </c>
    </row>
    <row r="691" spans="1:34">
      <c r="A691" s="13" t="str">
        <f t="shared" si="60"/>
        <v>OverStock</v>
      </c>
      <c r="B691" s="14" t="s">
        <v>735</v>
      </c>
      <c r="C691" s="15" t="s">
        <v>709</v>
      </c>
      <c r="D691" s="19">
        <f t="shared" si="61"/>
        <v>48</v>
      </c>
      <c r="E691" s="16">
        <f t="shared" si="62"/>
        <v>28.2</v>
      </c>
      <c r="F691" s="16">
        <f t="shared" si="63"/>
        <v>0</v>
      </c>
      <c r="G691" s="16">
        <f t="shared" si="64"/>
        <v>0</v>
      </c>
      <c r="H691" s="24" t="str">
        <f>IFERROR(VLOOKUP(B691,#REF!,8,FALSE),"")</f>
        <v/>
      </c>
      <c r="I691" s="17">
        <v>0</v>
      </c>
      <c r="J691" s="17">
        <v>0</v>
      </c>
      <c r="K691" s="24" t="str">
        <f>IFERROR(VLOOKUP(B691,#REF!,11,FALSE),"")</f>
        <v/>
      </c>
      <c r="L691" s="17">
        <v>180000</v>
      </c>
      <c r="M691" s="6" t="s">
        <v>748</v>
      </c>
      <c r="N691" s="18" t="str">
        <f>IFERROR(VLOOKUP(B691,#REF!,13,FALSE),"")</f>
        <v/>
      </c>
      <c r="O691" s="19" t="str">
        <f>IFERROR(VLOOKUP(B691,#REF!,14,FALSE),"")</f>
        <v/>
      </c>
      <c r="P691" s="19" t="str">
        <f>IFERROR(VLOOKUP(B691,#REF!,15,FALSE),"")</f>
        <v/>
      </c>
      <c r="Q691" s="19"/>
      <c r="R691" s="25" t="str">
        <f>IFERROR(VLOOKUP(B691,#REF!,16,FALSE),"")</f>
        <v/>
      </c>
      <c r="S691" s="17">
        <v>15000</v>
      </c>
      <c r="T691" s="17">
        <v>111000</v>
      </c>
      <c r="U691" s="17">
        <v>54000</v>
      </c>
      <c r="V691" s="17">
        <v>0</v>
      </c>
      <c r="W691" s="20">
        <v>180000</v>
      </c>
      <c r="X691" s="16">
        <v>48</v>
      </c>
      <c r="Y691" s="21">
        <v>28.2</v>
      </c>
      <c r="Z691" s="20">
        <v>3750</v>
      </c>
      <c r="AA691" s="17">
        <v>6375</v>
      </c>
      <c r="AB691" s="22">
        <v>1.7</v>
      </c>
      <c r="AC691" s="23">
        <f t="shared" si="65"/>
        <v>100</v>
      </c>
      <c r="AD691" s="17">
        <v>12558</v>
      </c>
      <c r="AE691" s="17">
        <v>44820</v>
      </c>
      <c r="AF691" s="17">
        <v>0</v>
      </c>
      <c r="AG691" s="17">
        <v>2500</v>
      </c>
      <c r="AH691" s="15" t="s">
        <v>42</v>
      </c>
    </row>
    <row r="692" spans="1:34">
      <c r="A692" s="13" t="str">
        <f t="shared" si="60"/>
        <v>Normal</v>
      </c>
      <c r="B692" s="14" t="s">
        <v>736</v>
      </c>
      <c r="C692" s="15" t="s">
        <v>709</v>
      </c>
      <c r="D692" s="19">
        <f t="shared" si="61"/>
        <v>9.4</v>
      </c>
      <c r="E692" s="16">
        <f t="shared" si="62"/>
        <v>7.2</v>
      </c>
      <c r="F692" s="16">
        <f t="shared" si="63"/>
        <v>3.1</v>
      </c>
      <c r="G692" s="16">
        <f t="shared" si="64"/>
        <v>2.2999999999999998</v>
      </c>
      <c r="H692" s="24" t="str">
        <f>IFERROR(VLOOKUP(B692,#REF!,8,FALSE),"")</f>
        <v/>
      </c>
      <c r="I692" s="17">
        <v>30000</v>
      </c>
      <c r="J692" s="17">
        <v>30000</v>
      </c>
      <c r="K692" s="24" t="str">
        <f>IFERROR(VLOOKUP(B692,#REF!,11,FALSE),"")</f>
        <v/>
      </c>
      <c r="L692" s="17">
        <v>91409</v>
      </c>
      <c r="M692" s="6" t="s">
        <v>748</v>
      </c>
      <c r="N692" s="18" t="str">
        <f>IFERROR(VLOOKUP(B692,#REF!,13,FALSE),"")</f>
        <v/>
      </c>
      <c r="O692" s="19" t="str">
        <f>IFERROR(VLOOKUP(B692,#REF!,14,FALSE),"")</f>
        <v/>
      </c>
      <c r="P692" s="19" t="str">
        <f>IFERROR(VLOOKUP(B692,#REF!,15,FALSE),"")</f>
        <v/>
      </c>
      <c r="Q692" s="19"/>
      <c r="R692" s="25" t="str">
        <f>IFERROR(VLOOKUP(B692,#REF!,16,FALSE),"")</f>
        <v/>
      </c>
      <c r="S692" s="17">
        <v>30000</v>
      </c>
      <c r="T692" s="17">
        <v>1409</v>
      </c>
      <c r="U692" s="17">
        <v>60000</v>
      </c>
      <c r="V692" s="17">
        <v>0</v>
      </c>
      <c r="W692" s="20">
        <v>121409</v>
      </c>
      <c r="X692" s="16">
        <v>12.5</v>
      </c>
      <c r="Y692" s="21">
        <v>9.5</v>
      </c>
      <c r="Z692" s="20">
        <v>9750</v>
      </c>
      <c r="AA692" s="17">
        <v>12784</v>
      </c>
      <c r="AB692" s="22">
        <v>1.3</v>
      </c>
      <c r="AC692" s="23">
        <f t="shared" si="65"/>
        <v>100</v>
      </c>
      <c r="AD692" s="17">
        <v>39975</v>
      </c>
      <c r="AE692" s="17">
        <v>82080</v>
      </c>
      <c r="AF692" s="17">
        <v>0</v>
      </c>
      <c r="AG692" s="17">
        <v>0</v>
      </c>
      <c r="AH692" s="15" t="s">
        <v>42</v>
      </c>
    </row>
    <row r="693" spans="1:34">
      <c r="A693" s="13" t="str">
        <f t="shared" si="60"/>
        <v>Normal</v>
      </c>
      <c r="B693" s="14" t="s">
        <v>737</v>
      </c>
      <c r="C693" s="15" t="s">
        <v>709</v>
      </c>
      <c r="D693" s="19">
        <f t="shared" si="61"/>
        <v>11</v>
      </c>
      <c r="E693" s="16">
        <f t="shared" si="62"/>
        <v>9.3000000000000007</v>
      </c>
      <c r="F693" s="16">
        <f t="shared" si="63"/>
        <v>4</v>
      </c>
      <c r="G693" s="16">
        <f t="shared" si="64"/>
        <v>3.3</v>
      </c>
      <c r="H693" s="24" t="str">
        <f>IFERROR(VLOOKUP(B693,#REF!,8,FALSE),"")</f>
        <v/>
      </c>
      <c r="I693" s="17">
        <v>120000</v>
      </c>
      <c r="J693" s="17">
        <v>120000</v>
      </c>
      <c r="K693" s="24" t="str">
        <f>IFERROR(VLOOKUP(B693,#REF!,11,FALSE),"")</f>
        <v/>
      </c>
      <c r="L693" s="17">
        <v>333000</v>
      </c>
      <c r="M693" s="6" t="s">
        <v>748</v>
      </c>
      <c r="N693" s="18" t="str">
        <f>IFERROR(VLOOKUP(B693,#REF!,13,FALSE),"")</f>
        <v/>
      </c>
      <c r="O693" s="19" t="str">
        <f>IFERROR(VLOOKUP(B693,#REF!,14,FALSE),"")</f>
        <v/>
      </c>
      <c r="P693" s="19" t="str">
        <f>IFERROR(VLOOKUP(B693,#REF!,15,FALSE),"")</f>
        <v/>
      </c>
      <c r="Q693" s="19"/>
      <c r="R693" s="25" t="str">
        <f>IFERROR(VLOOKUP(B693,#REF!,16,FALSE),"")</f>
        <v/>
      </c>
      <c r="S693" s="17">
        <v>51000</v>
      </c>
      <c r="T693" s="17">
        <v>69000</v>
      </c>
      <c r="U693" s="17">
        <v>213000</v>
      </c>
      <c r="V693" s="17">
        <v>0</v>
      </c>
      <c r="W693" s="20">
        <v>453000</v>
      </c>
      <c r="X693" s="16">
        <v>14.9</v>
      </c>
      <c r="Y693" s="21">
        <v>12.6</v>
      </c>
      <c r="Z693" s="20">
        <v>30375</v>
      </c>
      <c r="AA693" s="17">
        <v>36000</v>
      </c>
      <c r="AB693" s="22">
        <v>1.2</v>
      </c>
      <c r="AC693" s="23">
        <f t="shared" si="65"/>
        <v>100</v>
      </c>
      <c r="AD693" s="17">
        <v>70641</v>
      </c>
      <c r="AE693" s="17">
        <v>168000</v>
      </c>
      <c r="AF693" s="17">
        <v>108000</v>
      </c>
      <c r="AG693" s="17">
        <v>36000</v>
      </c>
      <c r="AH693" s="15" t="s">
        <v>42</v>
      </c>
    </row>
    <row r="694" spans="1:34">
      <c r="A694" s="13" t="str">
        <f t="shared" si="60"/>
        <v>OverStock</v>
      </c>
      <c r="B694" s="14" t="s">
        <v>739</v>
      </c>
      <c r="C694" s="15" t="s">
        <v>709</v>
      </c>
      <c r="D694" s="19">
        <f t="shared" si="61"/>
        <v>1.6</v>
      </c>
      <c r="E694" s="16">
        <f t="shared" si="62"/>
        <v>4.5</v>
      </c>
      <c r="F694" s="16">
        <f t="shared" si="63"/>
        <v>21.1</v>
      </c>
      <c r="G694" s="16">
        <f t="shared" si="64"/>
        <v>58</v>
      </c>
      <c r="H694" s="24" t="str">
        <f>IFERROR(VLOOKUP(B694,#REF!,8,FALSE),"")</f>
        <v/>
      </c>
      <c r="I694" s="17">
        <v>290160</v>
      </c>
      <c r="J694" s="17">
        <v>290160</v>
      </c>
      <c r="K694" s="24" t="str">
        <f>IFERROR(VLOOKUP(B694,#REF!,11,FALSE),"")</f>
        <v/>
      </c>
      <c r="L694" s="17">
        <v>22500</v>
      </c>
      <c r="M694" s="6" t="s">
        <v>752</v>
      </c>
      <c r="N694" s="18" t="str">
        <f>IFERROR(VLOOKUP(B694,#REF!,13,FALSE),"")</f>
        <v/>
      </c>
      <c r="O694" s="19" t="str">
        <f>IFERROR(VLOOKUP(B694,#REF!,14,FALSE),"")</f>
        <v/>
      </c>
      <c r="P694" s="19" t="str">
        <f>IFERROR(VLOOKUP(B694,#REF!,15,FALSE),"")</f>
        <v/>
      </c>
      <c r="Q694" s="19"/>
      <c r="R694" s="25" t="str">
        <f>IFERROR(VLOOKUP(B694,#REF!,16,FALSE),"")</f>
        <v/>
      </c>
      <c r="S694" s="17">
        <v>0</v>
      </c>
      <c r="T694" s="17">
        <v>22500</v>
      </c>
      <c r="U694" s="17">
        <v>0</v>
      </c>
      <c r="V694" s="17">
        <v>0</v>
      </c>
      <c r="W694" s="20">
        <v>312660</v>
      </c>
      <c r="X694" s="16">
        <v>22.8</v>
      </c>
      <c r="Y694" s="21">
        <v>62.5</v>
      </c>
      <c r="Z694" s="20">
        <v>13736</v>
      </c>
      <c r="AA694" s="17">
        <v>5000</v>
      </c>
      <c r="AB694" s="22">
        <v>0.4</v>
      </c>
      <c r="AC694" s="23">
        <f t="shared" si="65"/>
        <v>50</v>
      </c>
      <c r="AD694" s="17">
        <v>15000</v>
      </c>
      <c r="AE694" s="17">
        <v>25000</v>
      </c>
      <c r="AF694" s="17">
        <v>7500</v>
      </c>
      <c r="AG694" s="17">
        <v>0</v>
      </c>
      <c r="AH694" s="15" t="s">
        <v>42</v>
      </c>
    </row>
    <row r="695" spans="1:34">
      <c r="A695" s="13" t="str">
        <f t="shared" si="60"/>
        <v>Normal</v>
      </c>
      <c r="B695" s="14" t="s">
        <v>741</v>
      </c>
      <c r="C695" s="15" t="s">
        <v>742</v>
      </c>
      <c r="D695" s="19">
        <f t="shared" si="61"/>
        <v>0</v>
      </c>
      <c r="E695" s="16">
        <f t="shared" si="62"/>
        <v>0</v>
      </c>
      <c r="F695" s="16">
        <f t="shared" si="63"/>
        <v>13.1</v>
      </c>
      <c r="G695" s="16">
        <f t="shared" si="64"/>
        <v>3</v>
      </c>
      <c r="H695" s="24" t="str">
        <f>IFERROR(VLOOKUP(B695,#REF!,8,FALSE),"")</f>
        <v/>
      </c>
      <c r="I695" s="17">
        <v>93000</v>
      </c>
      <c r="J695" s="17">
        <v>93000</v>
      </c>
      <c r="K695" s="24" t="str">
        <f>IFERROR(VLOOKUP(B695,#REF!,11,FALSE),"")</f>
        <v/>
      </c>
      <c r="L695" s="17">
        <v>0</v>
      </c>
      <c r="M695" s="6" t="s">
        <v>748</v>
      </c>
      <c r="N695" s="18" t="str">
        <f>IFERROR(VLOOKUP(B695,#REF!,13,FALSE),"")</f>
        <v/>
      </c>
      <c r="O695" s="19" t="str">
        <f>IFERROR(VLOOKUP(B695,#REF!,14,FALSE),"")</f>
        <v/>
      </c>
      <c r="P695" s="19" t="str">
        <f>IFERROR(VLOOKUP(B695,#REF!,15,FALSE),"")</f>
        <v/>
      </c>
      <c r="Q695" s="19"/>
      <c r="R695" s="25" t="str">
        <f>IFERROR(VLOOKUP(B695,#REF!,16,FALSE),"")</f>
        <v/>
      </c>
      <c r="S695" s="17">
        <v>0</v>
      </c>
      <c r="T695" s="17">
        <v>0</v>
      </c>
      <c r="U695" s="17">
        <v>0</v>
      </c>
      <c r="V695" s="17">
        <v>0</v>
      </c>
      <c r="W695" s="20">
        <v>93000</v>
      </c>
      <c r="X695" s="16">
        <v>13.1</v>
      </c>
      <c r="Y695" s="21">
        <v>3</v>
      </c>
      <c r="Z695" s="20">
        <v>7125</v>
      </c>
      <c r="AA695" s="17">
        <v>31000</v>
      </c>
      <c r="AB695" s="22">
        <v>4.4000000000000004</v>
      </c>
      <c r="AC695" s="23">
        <f t="shared" si="65"/>
        <v>150</v>
      </c>
      <c r="AD695" s="17">
        <v>0</v>
      </c>
      <c r="AE695" s="17">
        <v>279000</v>
      </c>
      <c r="AF695" s="17">
        <v>0</v>
      </c>
      <c r="AG695" s="17">
        <v>0</v>
      </c>
      <c r="AH695" s="15" t="s">
        <v>42</v>
      </c>
    </row>
  </sheetData>
  <phoneticPr fontId="1" type="noConversion"/>
  <conditionalFormatting sqref="AC1:AC1048576">
    <cfRule type="iconSet" priority="3">
      <iconSet iconSet="3Arrows" showValue="0">
        <cfvo type="percent" val="0"/>
        <cfvo type="num" val="100"/>
        <cfvo type="num" val="150"/>
      </iconSet>
    </cfRule>
  </conditionalFormatting>
  <dataValidations count="3">
    <dataValidation type="list" allowBlank="1" showInputMessage="1" showErrorMessage="1" sqref="N4:N1048576">
      <formula1>"New,MP"</formula1>
    </dataValidation>
    <dataValidation type="list" allowBlank="1" showInputMessage="1" showErrorMessage="1" sqref="P4:P1048576">
      <formula1>"Sales,PM,SalesPM"</formula1>
    </dataValidation>
    <dataValidation type="list" errorStyle="warning" allowBlank="1" showInputMessage="1" showErrorMessage="1" sqref="O4:O1048576">
      <formula1>"Checking,DD,Dead,Done,Slow,SR"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Enya</dc:creator>
  <cp:lastModifiedBy>enya.chen</cp:lastModifiedBy>
  <dcterms:created xsi:type="dcterms:W3CDTF">2015-03-25T02:50:51Z</dcterms:created>
  <dcterms:modified xsi:type="dcterms:W3CDTF">2017-03-14T05:05:41Z</dcterms:modified>
</cp:coreProperties>
</file>